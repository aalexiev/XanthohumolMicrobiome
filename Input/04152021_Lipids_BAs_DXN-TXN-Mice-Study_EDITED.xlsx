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9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Upfish/Google Drive/OSU_Home_Sync/Xanthohumol/Input/"/>
    </mc:Choice>
  </mc:AlternateContent>
  <xr:revisionPtr revIDLastSave="0" documentId="13_ncr:1_{0312BF4E-EC60-8C41-87B0-E1EA274F9A9A}" xr6:coauthVersionLast="47" xr6:coauthVersionMax="47" xr10:uidLastSave="{00000000-0000-0000-0000-000000000000}"/>
  <bookViews>
    <workbookView xWindow="25600" yWindow="500" windowWidth="25600" windowHeight="28300" activeTab="3" xr2:uid="{00000000-000D-0000-FFFF-FFFF00000000}"/>
  </bookViews>
  <sheets>
    <sheet name="Bile acids_Feces" sheetId="2" r:id="rId1"/>
    <sheet name="Bile acids_Liver" sheetId="3" r:id="rId2"/>
    <sheet name="Sphingolipids-Brain" sheetId="6" r:id="rId3"/>
    <sheet name="Lipidomics_Liver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3" i="3" l="1"/>
  <c r="F53" i="3"/>
  <c r="G53" i="3"/>
  <c r="H53" i="3"/>
  <c r="I53" i="3"/>
  <c r="J53" i="3"/>
  <c r="K53" i="3"/>
  <c r="L53" i="3"/>
  <c r="M53" i="3"/>
  <c r="N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D53" i="3"/>
  <c r="Q64" i="3" l="1"/>
  <c r="AG64" i="3"/>
  <c r="F63" i="3"/>
  <c r="J63" i="3"/>
  <c r="W63" i="3"/>
  <c r="AA63" i="3"/>
  <c r="AM63" i="3"/>
  <c r="AQ63" i="3"/>
  <c r="C20" i="6"/>
  <c r="C26" i="6" s="1"/>
  <c r="D21" i="6"/>
  <c r="E21" i="6"/>
  <c r="F21" i="6"/>
  <c r="G21" i="6"/>
  <c r="H21" i="6"/>
  <c r="I21" i="6"/>
  <c r="J21" i="6"/>
  <c r="K21" i="6"/>
  <c r="L21" i="6"/>
  <c r="M21" i="6"/>
  <c r="O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S21" i="6"/>
  <c r="AT21" i="6"/>
  <c r="AU21" i="6"/>
  <c r="AV21" i="6"/>
  <c r="AW21" i="6"/>
  <c r="C21" i="6"/>
  <c r="D50" i="6"/>
  <c r="E50" i="6"/>
  <c r="F50" i="6"/>
  <c r="G50" i="6"/>
  <c r="H50" i="6"/>
  <c r="I50" i="6"/>
  <c r="J50" i="6"/>
  <c r="K50" i="6"/>
  <c r="L50" i="6"/>
  <c r="M50" i="6"/>
  <c r="O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S50" i="6"/>
  <c r="AT50" i="6"/>
  <c r="AU50" i="6"/>
  <c r="AV50" i="6"/>
  <c r="AW50" i="6"/>
  <c r="C50" i="6"/>
  <c r="D59" i="6"/>
  <c r="E59" i="6"/>
  <c r="F59" i="6"/>
  <c r="G59" i="6"/>
  <c r="H59" i="6"/>
  <c r="I59" i="6"/>
  <c r="J59" i="6"/>
  <c r="K59" i="6"/>
  <c r="L59" i="6"/>
  <c r="M59" i="6"/>
  <c r="O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S59" i="6"/>
  <c r="AT59" i="6"/>
  <c r="AU59" i="6"/>
  <c r="AV59" i="6"/>
  <c r="AW59" i="6"/>
  <c r="C59" i="6"/>
  <c r="E46" i="3"/>
  <c r="E59" i="3"/>
  <c r="E63" i="3" s="1"/>
  <c r="F46" i="3"/>
  <c r="F49" i="3" s="1"/>
  <c r="F59" i="3"/>
  <c r="F64" i="3" s="1"/>
  <c r="G46" i="3"/>
  <c r="G59" i="3"/>
  <c r="G63" i="3" s="1"/>
  <c r="H46" i="3"/>
  <c r="H49" i="3" s="1"/>
  <c r="H59" i="3"/>
  <c r="H63" i="3" s="1"/>
  <c r="I46" i="3"/>
  <c r="I59" i="3"/>
  <c r="I63" i="3" s="1"/>
  <c r="J46" i="3"/>
  <c r="J59" i="3"/>
  <c r="J64" i="3" s="1"/>
  <c r="J49" i="3"/>
  <c r="K46" i="3"/>
  <c r="K49" i="3" s="1"/>
  <c r="K59" i="3"/>
  <c r="K63" i="3" s="1"/>
  <c r="L46" i="3"/>
  <c r="L49" i="3"/>
  <c r="L59" i="3"/>
  <c r="L63" i="3" s="1"/>
  <c r="M46" i="3"/>
  <c r="M59" i="3"/>
  <c r="M63" i="3" s="1"/>
  <c r="N46" i="3"/>
  <c r="N49" i="3" s="1"/>
  <c r="N59" i="3"/>
  <c r="N64" i="3" s="1"/>
  <c r="P46" i="3"/>
  <c r="P59" i="3"/>
  <c r="P63" i="3" s="1"/>
  <c r="Q46" i="3"/>
  <c r="Q49" i="3" s="1"/>
  <c r="Q59" i="3"/>
  <c r="Q63" i="3" s="1"/>
  <c r="R46" i="3"/>
  <c r="R49" i="3"/>
  <c r="R59" i="3"/>
  <c r="R63" i="3" s="1"/>
  <c r="S46" i="3"/>
  <c r="S59" i="3"/>
  <c r="S64" i="3" s="1"/>
  <c r="S49" i="3"/>
  <c r="T46" i="3"/>
  <c r="T49" i="3" s="1"/>
  <c r="T59" i="3"/>
  <c r="T63" i="3" s="1"/>
  <c r="U46" i="3"/>
  <c r="U59" i="3"/>
  <c r="U63" i="3" s="1"/>
  <c r="V46" i="3"/>
  <c r="V49" i="3" s="1"/>
  <c r="V59" i="3"/>
  <c r="V63" i="3" s="1"/>
  <c r="W46" i="3"/>
  <c r="W49" i="3" s="1"/>
  <c r="W59" i="3"/>
  <c r="W64" i="3" s="1"/>
  <c r="X46" i="3"/>
  <c r="X59" i="3"/>
  <c r="X63" i="3" s="1"/>
  <c r="Y46" i="3"/>
  <c r="Y49" i="3" s="1"/>
  <c r="Y59" i="3"/>
  <c r="Y63" i="3" s="1"/>
  <c r="Z46" i="3"/>
  <c r="Z59" i="3"/>
  <c r="Z63" i="3" s="1"/>
  <c r="AA46" i="3"/>
  <c r="AA59" i="3"/>
  <c r="AA64" i="3" s="1"/>
  <c r="AA49" i="3"/>
  <c r="AB46" i="3"/>
  <c r="AB49" i="3" s="1"/>
  <c r="AB59" i="3"/>
  <c r="AB63" i="3" s="1"/>
  <c r="AC46" i="3"/>
  <c r="AC49" i="3"/>
  <c r="AC59" i="3"/>
  <c r="AC63" i="3" s="1"/>
  <c r="AD46" i="3"/>
  <c r="AD59" i="3"/>
  <c r="AD63" i="3" s="1"/>
  <c r="AE46" i="3"/>
  <c r="AE49" i="3" s="1"/>
  <c r="AE59" i="3"/>
  <c r="AE64" i="3" s="1"/>
  <c r="AF46" i="3"/>
  <c r="AF59" i="3"/>
  <c r="AF63" i="3" s="1"/>
  <c r="AG46" i="3"/>
  <c r="AG49" i="3" s="1"/>
  <c r="AG59" i="3"/>
  <c r="AG63" i="3" s="1"/>
  <c r="AH46" i="3"/>
  <c r="AH49" i="3"/>
  <c r="AH59" i="3"/>
  <c r="AH63" i="3" s="1"/>
  <c r="AI46" i="3"/>
  <c r="AI59" i="3"/>
  <c r="AI64" i="3" s="1"/>
  <c r="AI49" i="3"/>
  <c r="AJ46" i="3"/>
  <c r="AJ49" i="3" s="1"/>
  <c r="AJ59" i="3"/>
  <c r="AJ63" i="3" s="1"/>
  <c r="AK46" i="3"/>
  <c r="AK59" i="3"/>
  <c r="AK63" i="3" s="1"/>
  <c r="AL46" i="3"/>
  <c r="AL49" i="3" s="1"/>
  <c r="AL59" i="3"/>
  <c r="AL63" i="3" s="1"/>
  <c r="AM46" i="3"/>
  <c r="AM49" i="3" s="1"/>
  <c r="AM59" i="3"/>
  <c r="AM64" i="3" s="1"/>
  <c r="AN46" i="3"/>
  <c r="AN59" i="3"/>
  <c r="AN63" i="3" s="1"/>
  <c r="AO46" i="3"/>
  <c r="AO49" i="3" s="1"/>
  <c r="AO59" i="3"/>
  <c r="AO63" i="3" s="1"/>
  <c r="AP46" i="3"/>
  <c r="AP59" i="3"/>
  <c r="AP63" i="3" s="1"/>
  <c r="AQ46" i="3"/>
  <c r="AQ59" i="3"/>
  <c r="AQ64" i="3" s="1"/>
  <c r="AQ49" i="3"/>
  <c r="AR46" i="3"/>
  <c r="AR49" i="3" s="1"/>
  <c r="AR59" i="3"/>
  <c r="AR63" i="3" s="1"/>
  <c r="AS46" i="3"/>
  <c r="AS49" i="3"/>
  <c r="AS59" i="3"/>
  <c r="AS63" i="3" s="1"/>
  <c r="AT46" i="3"/>
  <c r="AT59" i="3"/>
  <c r="AT63" i="3" s="1"/>
  <c r="AU46" i="3"/>
  <c r="AU49" i="3" s="1"/>
  <c r="AU59" i="3"/>
  <c r="AU64" i="3" s="1"/>
  <c r="D46" i="3"/>
  <c r="D59" i="3"/>
  <c r="D63" i="3" s="1"/>
  <c r="E53" i="2"/>
  <c r="E63" i="2"/>
  <c r="E66" i="2" s="1"/>
  <c r="F53" i="2"/>
  <c r="F63" i="2"/>
  <c r="F66" i="2" s="1"/>
  <c r="G53" i="2"/>
  <c r="G63" i="2"/>
  <c r="H53" i="2"/>
  <c r="H63" i="2"/>
  <c r="H67" i="2" s="1"/>
  <c r="I53" i="2"/>
  <c r="I63" i="2"/>
  <c r="I67" i="2" s="1"/>
  <c r="J53" i="2"/>
  <c r="J63" i="2"/>
  <c r="J66" i="2" s="1"/>
  <c r="K53" i="2"/>
  <c r="K63" i="2"/>
  <c r="K67" i="2" s="1"/>
  <c r="L53" i="2"/>
  <c r="L63" i="2"/>
  <c r="L67" i="2" s="1"/>
  <c r="M53" i="2"/>
  <c r="M63" i="2"/>
  <c r="M66" i="2" s="1"/>
  <c r="N53" i="2"/>
  <c r="N63" i="2"/>
  <c r="N67" i="2" s="1"/>
  <c r="P53" i="2"/>
  <c r="P63" i="2"/>
  <c r="P56" i="2"/>
  <c r="R53" i="2"/>
  <c r="R56" i="2" s="1"/>
  <c r="R63" i="2"/>
  <c r="S53" i="2"/>
  <c r="S63" i="2"/>
  <c r="S65" i="2" s="1"/>
  <c r="T53" i="2"/>
  <c r="T63" i="2"/>
  <c r="U53" i="2"/>
  <c r="U63" i="2"/>
  <c r="U65" i="2" s="1"/>
  <c r="V53" i="2"/>
  <c r="V63" i="2"/>
  <c r="V67" i="2" s="1"/>
  <c r="W53" i="2"/>
  <c r="W63" i="2"/>
  <c r="W65" i="2" s="1"/>
  <c r="X53" i="2"/>
  <c r="X63" i="2"/>
  <c r="X66" i="2" s="1"/>
  <c r="Y53" i="2"/>
  <c r="Y63" i="2"/>
  <c r="Y67" i="2" s="1"/>
  <c r="Z53" i="2"/>
  <c r="Z63" i="2"/>
  <c r="Z67" i="2" s="1"/>
  <c r="AA53" i="2"/>
  <c r="AA63" i="2"/>
  <c r="AA66" i="2" s="1"/>
  <c r="AB53" i="2"/>
  <c r="AB63" i="2"/>
  <c r="AB67" i="2" s="1"/>
  <c r="AC53" i="2"/>
  <c r="AC63" i="2"/>
  <c r="AC66" i="2" s="1"/>
  <c r="AD53" i="2"/>
  <c r="AD63" i="2"/>
  <c r="AD67" i="2" s="1"/>
  <c r="AE53" i="2"/>
  <c r="AE63" i="2"/>
  <c r="AE65" i="2" s="1"/>
  <c r="AF53" i="2"/>
  <c r="AF63" i="2"/>
  <c r="AF65" i="2" s="1"/>
  <c r="AG53" i="2"/>
  <c r="AG63" i="2"/>
  <c r="AG65" i="2" s="1"/>
  <c r="AG56" i="2"/>
  <c r="AH53" i="2"/>
  <c r="AH63" i="2"/>
  <c r="AH67" i="2" s="1"/>
  <c r="AI53" i="2"/>
  <c r="AI63" i="2"/>
  <c r="AI67" i="2" s="1"/>
  <c r="AJ53" i="2"/>
  <c r="AJ63" i="2"/>
  <c r="AK53" i="2"/>
  <c r="AK63" i="2"/>
  <c r="AK66" i="2" s="1"/>
  <c r="AL53" i="2"/>
  <c r="AL63" i="2"/>
  <c r="AL66" i="2" s="1"/>
  <c r="AM53" i="2"/>
  <c r="AM63" i="2"/>
  <c r="AM67" i="2" s="1"/>
  <c r="AN53" i="2"/>
  <c r="AN63" i="2"/>
  <c r="AN56" i="2" s="1"/>
  <c r="AO53" i="2"/>
  <c r="AO63" i="2"/>
  <c r="AO55" i="2" s="1"/>
  <c r="AP53" i="2"/>
  <c r="AP63" i="2"/>
  <c r="AP66" i="2" s="1"/>
  <c r="AQ53" i="2"/>
  <c r="AQ63" i="2"/>
  <c r="AQ66" i="2" s="1"/>
  <c r="AT53" i="2"/>
  <c r="AT63" i="2"/>
  <c r="AT66" i="2" s="1"/>
  <c r="AU53" i="2"/>
  <c r="AU63" i="2"/>
  <c r="AU67" i="2" s="1"/>
  <c r="AV53" i="2"/>
  <c r="AV63" i="2"/>
  <c r="AV66" i="2" s="1"/>
  <c r="AW53" i="2"/>
  <c r="AW63" i="2"/>
  <c r="AW67" i="2" s="1"/>
  <c r="AX53" i="2"/>
  <c r="AX63" i="2"/>
  <c r="AX66" i="2" s="1"/>
  <c r="D53" i="2"/>
  <c r="D63" i="2"/>
  <c r="D65" i="2" s="1"/>
  <c r="Z20" i="6"/>
  <c r="Z26" i="6" s="1"/>
  <c r="D20" i="6"/>
  <c r="D24" i="6" s="1"/>
  <c r="E20" i="6"/>
  <c r="E28" i="6" s="1"/>
  <c r="F20" i="6"/>
  <c r="F24" i="6" s="1"/>
  <c r="G20" i="6"/>
  <c r="G24" i="6" s="1"/>
  <c r="H20" i="6"/>
  <c r="H24" i="6" s="1"/>
  <c r="I20" i="6"/>
  <c r="I29" i="6" s="1"/>
  <c r="J20" i="6"/>
  <c r="J24" i="6" s="1"/>
  <c r="K20" i="6"/>
  <c r="K23" i="6" s="1"/>
  <c r="L20" i="6"/>
  <c r="L24" i="6" s="1"/>
  <c r="M20" i="6"/>
  <c r="M29" i="6" s="1"/>
  <c r="O20" i="6"/>
  <c r="Q20" i="6"/>
  <c r="Q29" i="6" s="1"/>
  <c r="R20" i="6"/>
  <c r="R24" i="6" s="1"/>
  <c r="S20" i="6"/>
  <c r="S28" i="6" s="1"/>
  <c r="T20" i="6"/>
  <c r="T24" i="6" s="1"/>
  <c r="U20" i="6"/>
  <c r="U26" i="6" s="1"/>
  <c r="V20" i="6"/>
  <c r="V24" i="6" s="1"/>
  <c r="W20" i="6"/>
  <c r="W23" i="6"/>
  <c r="X20" i="6"/>
  <c r="X26" i="6" s="1"/>
  <c r="Y20" i="6"/>
  <c r="Y23" i="6" s="1"/>
  <c r="AA20" i="6"/>
  <c r="AA26" i="6" s="1"/>
  <c r="AB20" i="6"/>
  <c r="AB24" i="6" s="1"/>
  <c r="AC20" i="6"/>
  <c r="AC24" i="6" s="1"/>
  <c r="AD20" i="6"/>
  <c r="AD24" i="6" s="1"/>
  <c r="AE20" i="6"/>
  <c r="AE26" i="6" s="1"/>
  <c r="AF20" i="6"/>
  <c r="AF24" i="6" s="1"/>
  <c r="AG20" i="6"/>
  <c r="AG24" i="6" s="1"/>
  <c r="AH20" i="6"/>
  <c r="AH24" i="6" s="1"/>
  <c r="AI20" i="6"/>
  <c r="AI26" i="6" s="1"/>
  <c r="AJ20" i="6"/>
  <c r="AJ24" i="6" s="1"/>
  <c r="AK20" i="6"/>
  <c r="AK27" i="6" s="1"/>
  <c r="AL20" i="6"/>
  <c r="AL24" i="6" s="1"/>
  <c r="AM20" i="6"/>
  <c r="AM26" i="6" s="1"/>
  <c r="AN20" i="6"/>
  <c r="AN25" i="6" s="1"/>
  <c r="AN24" i="6"/>
  <c r="AO20" i="6"/>
  <c r="AO23" i="6" s="1"/>
  <c r="AP20" i="6"/>
  <c r="AP24" i="6" s="1"/>
  <c r="AS20" i="6"/>
  <c r="AS26" i="6" s="1"/>
  <c r="AS24" i="6"/>
  <c r="AT20" i="6"/>
  <c r="AT24" i="6" s="1"/>
  <c r="AU20" i="6"/>
  <c r="AU28" i="6" s="1"/>
  <c r="AV20" i="6"/>
  <c r="AV24" i="6" s="1"/>
  <c r="AW20" i="6"/>
  <c r="AW26" i="6" s="1"/>
  <c r="J25" i="6"/>
  <c r="AE25" i="6"/>
  <c r="AN26" i="6"/>
  <c r="O27" i="6"/>
  <c r="AE27" i="6"/>
  <c r="AU27" i="6"/>
  <c r="AV27" i="6"/>
  <c r="M28" i="6"/>
  <c r="O28" i="6"/>
  <c r="AS28" i="6"/>
  <c r="C29" i="6"/>
  <c r="J29" i="6"/>
  <c r="O29" i="6"/>
  <c r="W29" i="6"/>
  <c r="AK29" i="6"/>
  <c r="AP29" i="6"/>
  <c r="E23" i="6"/>
  <c r="J23" i="6"/>
  <c r="O23" i="6"/>
  <c r="AB23" i="6"/>
  <c r="AN23" i="6"/>
  <c r="AS23" i="6"/>
  <c r="AU23" i="6"/>
  <c r="C23" i="6"/>
  <c r="E62" i="3"/>
  <c r="F62" i="3"/>
  <c r="I62" i="3"/>
  <c r="J62" i="3"/>
  <c r="K62" i="3"/>
  <c r="L62" i="3"/>
  <c r="M62" i="3"/>
  <c r="N62" i="3"/>
  <c r="Q62" i="3"/>
  <c r="R62" i="3"/>
  <c r="S62" i="3"/>
  <c r="T62" i="3"/>
  <c r="V62" i="3"/>
  <c r="W62" i="3"/>
  <c r="Z62" i="3"/>
  <c r="AA62" i="3"/>
  <c r="AB62" i="3"/>
  <c r="AC62" i="3"/>
  <c r="AD62" i="3"/>
  <c r="AE62" i="3"/>
  <c r="AG62" i="3"/>
  <c r="AH62" i="3"/>
  <c r="AI62" i="3"/>
  <c r="AJ62" i="3"/>
  <c r="AL62" i="3"/>
  <c r="AM62" i="3"/>
  <c r="AP62" i="3"/>
  <c r="AQ62" i="3"/>
  <c r="AR62" i="3"/>
  <c r="AS62" i="3"/>
  <c r="AT62" i="3"/>
  <c r="AU62" i="3"/>
  <c r="F61" i="3"/>
  <c r="H61" i="3"/>
  <c r="I61" i="3"/>
  <c r="K61" i="3"/>
  <c r="L61" i="3"/>
  <c r="N61" i="3"/>
  <c r="Q61" i="3"/>
  <c r="R61" i="3"/>
  <c r="T61" i="3"/>
  <c r="U61" i="3"/>
  <c r="W61" i="3"/>
  <c r="Y61" i="3"/>
  <c r="Z61" i="3"/>
  <c r="AB61" i="3"/>
  <c r="AC61" i="3"/>
  <c r="AE61" i="3"/>
  <c r="AG61" i="3"/>
  <c r="AH61" i="3"/>
  <c r="AJ61" i="3"/>
  <c r="AK61" i="3"/>
  <c r="AM61" i="3"/>
  <c r="AO61" i="3"/>
  <c r="AP61" i="3"/>
  <c r="AR61" i="3"/>
  <c r="AS61" i="3"/>
  <c r="AU61" i="3"/>
  <c r="E58" i="3"/>
  <c r="E60" i="3" s="1"/>
  <c r="F58" i="3"/>
  <c r="F60" i="3" s="1"/>
  <c r="G58" i="3"/>
  <c r="H58" i="3"/>
  <c r="H60" i="3" s="1"/>
  <c r="I58" i="3"/>
  <c r="I60" i="3" s="1"/>
  <c r="J58" i="3"/>
  <c r="K58" i="3"/>
  <c r="K60" i="3" s="1"/>
  <c r="L58" i="3"/>
  <c r="L60" i="3" s="1"/>
  <c r="M58" i="3"/>
  <c r="M60" i="3" s="1"/>
  <c r="N58" i="3"/>
  <c r="N60" i="3" s="1"/>
  <c r="P58" i="3"/>
  <c r="Q58" i="3"/>
  <c r="Q60" i="3" s="1"/>
  <c r="R58" i="3"/>
  <c r="R60" i="3" s="1"/>
  <c r="S58" i="3"/>
  <c r="T58" i="3"/>
  <c r="T60" i="3" s="1"/>
  <c r="U58" i="3"/>
  <c r="V58" i="3"/>
  <c r="V60" i="3" s="1"/>
  <c r="W58" i="3"/>
  <c r="W60" i="3" s="1"/>
  <c r="X58" i="3"/>
  <c r="Y58" i="3"/>
  <c r="Y60" i="3" s="1"/>
  <c r="Z58" i="3"/>
  <c r="Z60" i="3" s="1"/>
  <c r="AA58" i="3"/>
  <c r="AB58" i="3"/>
  <c r="AB60" i="3" s="1"/>
  <c r="AC58" i="3"/>
  <c r="AC60" i="3" s="1"/>
  <c r="AD58" i="3"/>
  <c r="AD60" i="3" s="1"/>
  <c r="AE58" i="3"/>
  <c r="AE60" i="3" s="1"/>
  <c r="AF58" i="3"/>
  <c r="AG58" i="3"/>
  <c r="AG60" i="3" s="1"/>
  <c r="AH58" i="3"/>
  <c r="AH60" i="3" s="1"/>
  <c r="AI58" i="3"/>
  <c r="AJ58" i="3"/>
  <c r="AJ60" i="3" s="1"/>
  <c r="AK58" i="3"/>
  <c r="AL58" i="3"/>
  <c r="AL60" i="3" s="1"/>
  <c r="AM58" i="3"/>
  <c r="AM60" i="3" s="1"/>
  <c r="AN58" i="3"/>
  <c r="AO58" i="3"/>
  <c r="AO60" i="3" s="1"/>
  <c r="AP58" i="3"/>
  <c r="AP60" i="3" s="1"/>
  <c r="AQ58" i="3"/>
  <c r="AR58" i="3"/>
  <c r="AR60" i="3" s="1"/>
  <c r="AS58" i="3"/>
  <c r="AS60" i="3" s="1"/>
  <c r="AT58" i="3"/>
  <c r="AT60" i="3" s="1"/>
  <c r="AU58" i="3"/>
  <c r="AU60" i="3" s="1"/>
  <c r="D58" i="3"/>
  <c r="E68" i="2"/>
  <c r="F68" i="2"/>
  <c r="G68" i="2"/>
  <c r="H68" i="2"/>
  <c r="I68" i="2"/>
  <c r="J68" i="2"/>
  <c r="K68" i="2"/>
  <c r="L68" i="2"/>
  <c r="M68" i="2"/>
  <c r="N68" i="2"/>
  <c r="P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T68" i="2"/>
  <c r="AU68" i="2"/>
  <c r="AV68" i="2"/>
  <c r="AW68" i="2"/>
  <c r="AX68" i="2"/>
  <c r="D68" i="2"/>
  <c r="E67" i="2"/>
  <c r="G67" i="2"/>
  <c r="M67" i="2"/>
  <c r="P67" i="2"/>
  <c r="R67" i="2"/>
  <c r="T67" i="2"/>
  <c r="X67" i="2"/>
  <c r="AE67" i="2"/>
  <c r="AG67" i="2"/>
  <c r="AJ67" i="2"/>
  <c r="AN67" i="2"/>
  <c r="AO67" i="2"/>
  <c r="G66" i="2"/>
  <c r="I66" i="2"/>
  <c r="K66" i="2"/>
  <c r="P66" i="2"/>
  <c r="R66" i="2"/>
  <c r="S66" i="2"/>
  <c r="T66" i="2"/>
  <c r="V66" i="2"/>
  <c r="Y66" i="2"/>
  <c r="AB66" i="2"/>
  <c r="AF66" i="2"/>
  <c r="AG66" i="2"/>
  <c r="AH66" i="2"/>
  <c r="AJ66" i="2"/>
  <c r="E62" i="2"/>
  <c r="E64" i="2" s="1"/>
  <c r="F62" i="2"/>
  <c r="G62" i="2"/>
  <c r="H62" i="2"/>
  <c r="I62" i="2"/>
  <c r="I64" i="2" s="1"/>
  <c r="J62" i="2"/>
  <c r="K62" i="2"/>
  <c r="L62" i="2"/>
  <c r="M62" i="2"/>
  <c r="M64" i="2" s="1"/>
  <c r="N62" i="2"/>
  <c r="P62" i="2"/>
  <c r="R62" i="2"/>
  <c r="R64" i="2" s="1"/>
  <c r="S62" i="2"/>
  <c r="T62" i="2"/>
  <c r="T64" i="2" s="1"/>
  <c r="U62" i="2"/>
  <c r="V62" i="2"/>
  <c r="V64" i="2" s="1"/>
  <c r="W62" i="2"/>
  <c r="X62" i="2"/>
  <c r="X64" i="2" s="1"/>
  <c r="Y62" i="2"/>
  <c r="Z62" i="2"/>
  <c r="AA62" i="2"/>
  <c r="AA64" i="2" s="1"/>
  <c r="AB62" i="2"/>
  <c r="AB64" i="2" s="1"/>
  <c r="AC62" i="2"/>
  <c r="AD62" i="2"/>
  <c r="AE62" i="2"/>
  <c r="AE64" i="2" s="1"/>
  <c r="AF62" i="2"/>
  <c r="AF64" i="2" s="1"/>
  <c r="AG62" i="2"/>
  <c r="AH62" i="2"/>
  <c r="AH64" i="2" s="1"/>
  <c r="AI62" i="2"/>
  <c r="AJ62" i="2"/>
  <c r="AJ64" i="2" s="1"/>
  <c r="AK62" i="2"/>
  <c r="AL62" i="2"/>
  <c r="AL64" i="2" s="1"/>
  <c r="AM62" i="2"/>
  <c r="AN62" i="2"/>
  <c r="AN64" i="2" s="1"/>
  <c r="AO62" i="2"/>
  <c r="AP62" i="2"/>
  <c r="AQ62" i="2"/>
  <c r="AT62" i="2"/>
  <c r="AT64" i="2" s="1"/>
  <c r="AU62" i="2"/>
  <c r="AV62" i="2"/>
  <c r="AW62" i="2"/>
  <c r="AX62" i="2"/>
  <c r="AX64" i="2" s="1"/>
  <c r="G65" i="2"/>
  <c r="I65" i="2"/>
  <c r="M65" i="2"/>
  <c r="P65" i="2"/>
  <c r="R65" i="2"/>
  <c r="T65" i="2"/>
  <c r="V65" i="2"/>
  <c r="Z65" i="2"/>
  <c r="AA65" i="2"/>
  <c r="AH65" i="2"/>
  <c r="AJ65" i="2"/>
  <c r="AT65" i="2"/>
  <c r="D62" i="2"/>
  <c r="D64" i="2" s="1"/>
  <c r="E60" i="2"/>
  <c r="F60" i="2"/>
  <c r="G60" i="2"/>
  <c r="H60" i="2"/>
  <c r="I60" i="2"/>
  <c r="J60" i="2"/>
  <c r="K60" i="2"/>
  <c r="L60" i="2"/>
  <c r="M60" i="2"/>
  <c r="N60" i="2"/>
  <c r="P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T60" i="2"/>
  <c r="AU60" i="2"/>
  <c r="AV60" i="2"/>
  <c r="AW60" i="2"/>
  <c r="AX60" i="2"/>
  <c r="E61" i="2"/>
  <c r="F61" i="2"/>
  <c r="G61" i="2"/>
  <c r="H61" i="2"/>
  <c r="I61" i="2"/>
  <c r="J61" i="2"/>
  <c r="K61" i="2"/>
  <c r="L61" i="2"/>
  <c r="M61" i="2"/>
  <c r="N61" i="2"/>
  <c r="P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T61" i="2"/>
  <c r="AU61" i="2"/>
  <c r="AV61" i="2"/>
  <c r="AW61" i="2"/>
  <c r="AX61" i="2"/>
  <c r="D60" i="2"/>
  <c r="D61" i="2"/>
  <c r="E57" i="3"/>
  <c r="F57" i="3"/>
  <c r="G57" i="3"/>
  <c r="H57" i="3"/>
  <c r="I57" i="3"/>
  <c r="J57" i="3"/>
  <c r="K57" i="3"/>
  <c r="L57" i="3"/>
  <c r="M57" i="3"/>
  <c r="N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D57" i="3"/>
  <c r="E45" i="3"/>
  <c r="E47" i="3" s="1"/>
  <c r="F45" i="3"/>
  <c r="F47" i="3" s="1"/>
  <c r="F48" i="3"/>
  <c r="G45" i="3"/>
  <c r="G47" i="3" s="1"/>
  <c r="H45" i="3"/>
  <c r="H47" i="3" s="1"/>
  <c r="H48" i="3"/>
  <c r="I45" i="3"/>
  <c r="I47" i="3" s="1"/>
  <c r="J45" i="3"/>
  <c r="J47" i="3" s="1"/>
  <c r="K45" i="3"/>
  <c r="L45" i="3"/>
  <c r="L47" i="3" s="1"/>
  <c r="L48" i="3"/>
  <c r="M45" i="3"/>
  <c r="N45" i="3"/>
  <c r="N47" i="3" s="1"/>
  <c r="N48" i="3"/>
  <c r="P45" i="3"/>
  <c r="Q45" i="3"/>
  <c r="Q47" i="3" s="1"/>
  <c r="R45" i="3"/>
  <c r="S45" i="3"/>
  <c r="S47" i="3" s="1"/>
  <c r="T45" i="3"/>
  <c r="U45" i="3"/>
  <c r="U47" i="3" s="1"/>
  <c r="V45" i="3"/>
  <c r="W45" i="3"/>
  <c r="W47" i="3" s="1"/>
  <c r="X45" i="3"/>
  <c r="Y45" i="3"/>
  <c r="Y47" i="3" s="1"/>
  <c r="Y48" i="3"/>
  <c r="Z45" i="3"/>
  <c r="AA45" i="3"/>
  <c r="AA47" i="3" s="1"/>
  <c r="AB45" i="3"/>
  <c r="AC45" i="3"/>
  <c r="AC47" i="3" s="1"/>
  <c r="AD45" i="3"/>
  <c r="AD47" i="3" s="1"/>
  <c r="AD48" i="3"/>
  <c r="AE45" i="3"/>
  <c r="AE47" i="3" s="1"/>
  <c r="AF45" i="3"/>
  <c r="AF47" i="3" s="1"/>
  <c r="AG45" i="3"/>
  <c r="AG47" i="3" s="1"/>
  <c r="AH45" i="3"/>
  <c r="AH47" i="3" s="1"/>
  <c r="AH48" i="3"/>
  <c r="AI45" i="3"/>
  <c r="AI47" i="3" s="1"/>
  <c r="AJ45" i="3"/>
  <c r="AJ47" i="3" s="1"/>
  <c r="AJ48" i="3"/>
  <c r="AK45" i="3"/>
  <c r="AK47" i="3" s="1"/>
  <c r="AL45" i="3"/>
  <c r="AL47" i="3" s="1"/>
  <c r="AL48" i="3"/>
  <c r="AM45" i="3"/>
  <c r="AM47" i="3" s="1"/>
  <c r="AN45" i="3"/>
  <c r="AN47" i="3" s="1"/>
  <c r="AO45" i="3"/>
  <c r="AO47" i="3" s="1"/>
  <c r="AP45" i="3"/>
  <c r="AP47" i="3" s="1"/>
  <c r="AP48" i="3"/>
  <c r="AQ45" i="3"/>
  <c r="AQ47" i="3" s="1"/>
  <c r="AR45" i="3"/>
  <c r="AR47" i="3" s="1"/>
  <c r="AR48" i="3"/>
  <c r="AS45" i="3"/>
  <c r="AS47" i="3" s="1"/>
  <c r="AT45" i="3"/>
  <c r="AT47" i="3" s="1"/>
  <c r="AT48" i="3"/>
  <c r="AU45" i="3"/>
  <c r="AU47" i="3" s="1"/>
  <c r="D45" i="3"/>
  <c r="D47" i="3" s="1"/>
  <c r="E52" i="2"/>
  <c r="E55" i="2"/>
  <c r="F52" i="2"/>
  <c r="F55" i="2" s="1"/>
  <c r="G52" i="2"/>
  <c r="G55" i="2" s="1"/>
  <c r="H52" i="2"/>
  <c r="I52" i="2"/>
  <c r="I55" i="2" s="1"/>
  <c r="J52" i="2"/>
  <c r="K52" i="2"/>
  <c r="K55" i="2"/>
  <c r="L52" i="2"/>
  <c r="M52" i="2"/>
  <c r="M55" i="2" s="1"/>
  <c r="N52" i="2"/>
  <c r="P52" i="2"/>
  <c r="P55" i="2" s="1"/>
  <c r="R52" i="2"/>
  <c r="R55" i="2" s="1"/>
  <c r="S52" i="2"/>
  <c r="S55" i="2" s="1"/>
  <c r="T52" i="2"/>
  <c r="T55" i="2" s="1"/>
  <c r="U52" i="2"/>
  <c r="U55" i="2" s="1"/>
  <c r="V52" i="2"/>
  <c r="V55" i="2" s="1"/>
  <c r="W52" i="2"/>
  <c r="X52" i="2"/>
  <c r="X55" i="2" s="1"/>
  <c r="Y52" i="2"/>
  <c r="Y55" i="2" s="1"/>
  <c r="Z52" i="2"/>
  <c r="AA52" i="2"/>
  <c r="AA55" i="2" s="1"/>
  <c r="AB52" i="2"/>
  <c r="AC52" i="2"/>
  <c r="AC55" i="2"/>
  <c r="AD52" i="2"/>
  <c r="AE52" i="2"/>
  <c r="AE55" i="2" s="1"/>
  <c r="AF52" i="2"/>
  <c r="AF55" i="2" s="1"/>
  <c r="AG52" i="2"/>
  <c r="AG55" i="2" s="1"/>
  <c r="AH52" i="2"/>
  <c r="AH55" i="2" s="1"/>
  <c r="AI52" i="2"/>
  <c r="AJ52" i="2"/>
  <c r="AJ55" i="2" s="1"/>
  <c r="AK52" i="2"/>
  <c r="AL52" i="2"/>
  <c r="AL55" i="2" s="1"/>
  <c r="AM52" i="2"/>
  <c r="AN52" i="2"/>
  <c r="AN55" i="2" s="1"/>
  <c r="AO52" i="2"/>
  <c r="AP52" i="2"/>
  <c r="AQ52" i="2"/>
  <c r="AQ55" i="2" s="1"/>
  <c r="AT52" i="2"/>
  <c r="AU52" i="2"/>
  <c r="AV52" i="2"/>
  <c r="AW52" i="2"/>
  <c r="AX52" i="2"/>
  <c r="AX55" i="2" s="1"/>
  <c r="D52" i="2"/>
  <c r="AO51" i="3"/>
  <c r="AP51" i="3"/>
  <c r="AQ51" i="3"/>
  <c r="AR51" i="3"/>
  <c r="AS51" i="3"/>
  <c r="AT51" i="3"/>
  <c r="AU51" i="3"/>
  <c r="AO50" i="3"/>
  <c r="AP50" i="3"/>
  <c r="AQ50" i="3"/>
  <c r="AR50" i="3"/>
  <c r="AS50" i="3"/>
  <c r="AT50" i="3"/>
  <c r="AU50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E51" i="3"/>
  <c r="F51" i="3"/>
  <c r="G51" i="3"/>
  <c r="H51" i="3"/>
  <c r="I51" i="3"/>
  <c r="J51" i="3"/>
  <c r="K51" i="3"/>
  <c r="L51" i="3"/>
  <c r="M51" i="3"/>
  <c r="N51" i="3"/>
  <c r="P51" i="3"/>
  <c r="Q51" i="3"/>
  <c r="R51" i="3"/>
  <c r="S51" i="3"/>
  <c r="E50" i="3"/>
  <c r="F50" i="3"/>
  <c r="G50" i="3"/>
  <c r="H50" i="3"/>
  <c r="I50" i="3"/>
  <c r="J50" i="3"/>
  <c r="K50" i="3"/>
  <c r="L50" i="3"/>
  <c r="M50" i="3"/>
  <c r="N50" i="3"/>
  <c r="P50" i="3"/>
  <c r="Q50" i="3"/>
  <c r="R50" i="3"/>
  <c r="S50" i="3"/>
  <c r="D51" i="3"/>
  <c r="D50" i="3"/>
  <c r="AO58" i="2"/>
  <c r="AP58" i="2"/>
  <c r="AQ58" i="2"/>
  <c r="AT58" i="2"/>
  <c r="AU58" i="2"/>
  <c r="AV58" i="2"/>
  <c r="AW58" i="2"/>
  <c r="AX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M58" i="2"/>
  <c r="N58" i="2"/>
  <c r="P58" i="2"/>
  <c r="R58" i="2"/>
  <c r="S58" i="2"/>
  <c r="T58" i="2"/>
  <c r="U58" i="2"/>
  <c r="V58" i="2"/>
  <c r="W58" i="2"/>
  <c r="X58" i="2"/>
  <c r="Y58" i="2"/>
  <c r="Z58" i="2"/>
  <c r="E58" i="2"/>
  <c r="F58" i="2"/>
  <c r="G58" i="2"/>
  <c r="H58" i="2"/>
  <c r="I58" i="2"/>
  <c r="J58" i="2"/>
  <c r="K58" i="2"/>
  <c r="L58" i="2"/>
  <c r="E57" i="2"/>
  <c r="F57" i="2"/>
  <c r="G57" i="2"/>
  <c r="H57" i="2"/>
  <c r="I57" i="2"/>
  <c r="J57" i="2"/>
  <c r="K57" i="2"/>
  <c r="L57" i="2"/>
  <c r="M57" i="2"/>
  <c r="N57" i="2"/>
  <c r="P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T57" i="2"/>
  <c r="AU57" i="2"/>
  <c r="AV57" i="2"/>
  <c r="AW57" i="2"/>
  <c r="AX57" i="2"/>
  <c r="D58" i="2"/>
  <c r="D57" i="2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N43" i="3"/>
  <c r="M43" i="3"/>
  <c r="L43" i="3"/>
  <c r="K43" i="3"/>
  <c r="J43" i="3"/>
  <c r="I43" i="3"/>
  <c r="H43" i="3"/>
  <c r="G43" i="3"/>
  <c r="F43" i="3"/>
  <c r="E43" i="3"/>
  <c r="D43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N42" i="3"/>
  <c r="M42" i="3"/>
  <c r="L42" i="3"/>
  <c r="K42" i="3"/>
  <c r="J42" i="3"/>
  <c r="I42" i="3"/>
  <c r="H42" i="3"/>
  <c r="G42" i="3"/>
  <c r="F42" i="3"/>
  <c r="E42" i="3"/>
  <c r="D42" i="3"/>
  <c r="T23" i="6"/>
  <c r="AI28" i="6"/>
  <c r="W28" i="6"/>
  <c r="T25" i="6"/>
  <c r="H25" i="6"/>
  <c r="AV29" i="6"/>
  <c r="E29" i="6"/>
  <c r="AS27" i="6"/>
  <c r="T27" i="6"/>
  <c r="T29" i="6"/>
  <c r="AE28" i="6"/>
  <c r="T28" i="6"/>
  <c r="O26" i="6"/>
  <c r="AJ25" i="6"/>
  <c r="AO24" i="6"/>
  <c r="AV23" i="6"/>
  <c r="AG28" i="6"/>
  <c r="AB26" i="6"/>
  <c r="AB25" i="6"/>
  <c r="AM27" i="6"/>
  <c r="AV28" i="6"/>
  <c r="AN29" i="6"/>
  <c r="AN28" i="6"/>
  <c r="AJ28" i="6"/>
  <c r="AB28" i="6"/>
  <c r="AS25" i="6"/>
  <c r="AF25" i="6"/>
  <c r="AE24" i="6"/>
  <c r="AE23" i="6"/>
  <c r="S29" i="6"/>
  <c r="Y25" i="6"/>
  <c r="Q27" i="6"/>
  <c r="S26" i="6"/>
  <c r="S25" i="6"/>
  <c r="S24" i="6"/>
  <c r="S27" i="6"/>
  <c r="I27" i="6"/>
  <c r="S23" i="6"/>
  <c r="K24" i="6"/>
  <c r="C28" i="6"/>
  <c r="C27" i="6"/>
  <c r="C24" i="6"/>
  <c r="C25" i="6"/>
  <c r="W26" i="6"/>
  <c r="W25" i="6"/>
  <c r="W24" i="6"/>
  <c r="W27" i="6"/>
  <c r="M26" i="6"/>
  <c r="M25" i="6"/>
  <c r="M24" i="6"/>
  <c r="M27" i="6"/>
  <c r="E26" i="6"/>
  <c r="E25" i="6"/>
  <c r="E24" i="6"/>
  <c r="E27" i="6"/>
  <c r="AJ27" i="6"/>
  <c r="AV25" i="6"/>
  <c r="L26" i="6" l="1"/>
  <c r="AO29" i="6"/>
  <c r="X23" i="6"/>
  <c r="AD23" i="6"/>
  <c r="H29" i="6"/>
  <c r="AC26" i="6"/>
  <c r="L28" i="6"/>
  <c r="G26" i="6"/>
  <c r="AL26" i="6"/>
  <c r="AO26" i="6"/>
  <c r="H28" i="6"/>
  <c r="X28" i="6"/>
  <c r="AV26" i="6"/>
  <c r="Y24" i="6"/>
  <c r="AT28" i="6"/>
  <c r="V26" i="6"/>
  <c r="H26" i="6"/>
  <c r="R27" i="6"/>
  <c r="V29" i="6"/>
  <c r="V27" i="6"/>
  <c r="AO28" i="6"/>
  <c r="AH27" i="6"/>
  <c r="V23" i="6"/>
  <c r="AH29" i="6"/>
  <c r="R29" i="6"/>
  <c r="V28" i="6"/>
  <c r="AK26" i="6"/>
  <c r="AD25" i="6"/>
  <c r="AN27" i="6"/>
  <c r="G27" i="6"/>
  <c r="Y27" i="6"/>
  <c r="AJ29" i="6"/>
  <c r="Y29" i="6"/>
  <c r="Y26" i="6"/>
  <c r="AC25" i="6"/>
  <c r="K26" i="6"/>
  <c r="AK23" i="6"/>
  <c r="R23" i="6"/>
  <c r="AS29" i="6"/>
  <c r="Z29" i="6"/>
  <c r="AK28" i="6"/>
  <c r="AJ26" i="6"/>
  <c r="AH25" i="6"/>
  <c r="Y28" i="6"/>
  <c r="V25" i="6"/>
  <c r="AH26" i="6"/>
  <c r="H27" i="6"/>
  <c r="H23" i="6"/>
  <c r="AH23" i="6"/>
  <c r="AH28" i="6"/>
  <c r="AD26" i="6"/>
  <c r="K27" i="6"/>
  <c r="G28" i="6"/>
  <c r="Q28" i="6"/>
  <c r="AB27" i="6"/>
  <c r="AF28" i="6"/>
  <c r="D29" i="6"/>
  <c r="AT25" i="6"/>
  <c r="AM23" i="6"/>
  <c r="AM25" i="6"/>
  <c r="AW23" i="6"/>
  <c r="AI27" i="6"/>
  <c r="AF23" i="6"/>
  <c r="K29" i="6"/>
  <c r="G23" i="6"/>
  <c r="AM29" i="6"/>
  <c r="AM28" i="6"/>
  <c r="AW25" i="6"/>
  <c r="AT27" i="6"/>
  <c r="K28" i="6"/>
  <c r="G25" i="6"/>
  <c r="Q25" i="6"/>
  <c r="AM24" i="6"/>
  <c r="AF26" i="6"/>
  <c r="AF27" i="6"/>
  <c r="AB29" i="6"/>
  <c r="AT29" i="6"/>
  <c r="D28" i="6"/>
  <c r="D25" i="6"/>
  <c r="D26" i="6"/>
  <c r="AT26" i="6"/>
  <c r="G29" i="6"/>
  <c r="X27" i="6"/>
  <c r="Q26" i="6"/>
  <c r="AP25" i="6"/>
  <c r="K25" i="6"/>
  <c r="U28" i="6"/>
  <c r="Q24" i="6"/>
  <c r="AW28" i="6"/>
  <c r="AW24" i="6"/>
  <c r="D27" i="6"/>
  <c r="AW27" i="6"/>
  <c r="AF29" i="6"/>
  <c r="D23" i="6"/>
  <c r="AT23" i="6"/>
  <c r="AP27" i="6"/>
  <c r="F25" i="6"/>
  <c r="U25" i="6"/>
  <c r="I28" i="6"/>
  <c r="I24" i="6"/>
  <c r="AU25" i="6"/>
  <c r="AJ23" i="6"/>
  <c r="AA23" i="6"/>
  <c r="AD28" i="6"/>
  <c r="R28" i="6"/>
  <c r="J28" i="6"/>
  <c r="AD27" i="6"/>
  <c r="J26" i="6"/>
  <c r="AO25" i="6"/>
  <c r="X25" i="6"/>
  <c r="U24" i="6"/>
  <c r="I23" i="6"/>
  <c r="I25" i="6"/>
  <c r="AA25" i="6"/>
  <c r="AG25" i="6"/>
  <c r="AG27" i="6"/>
  <c r="AL23" i="6"/>
  <c r="AI24" i="6"/>
  <c r="AC29" i="6"/>
  <c r="AI23" i="6"/>
  <c r="M23" i="6"/>
  <c r="F23" i="6"/>
  <c r="AD29" i="6"/>
  <c r="F29" i="6"/>
  <c r="AL28" i="6"/>
  <c r="AA28" i="6"/>
  <c r="F28" i="6"/>
  <c r="AO27" i="6"/>
  <c r="AA27" i="6"/>
  <c r="J27" i="6"/>
  <c r="R25" i="6"/>
  <c r="AA24" i="6"/>
  <c r="AL25" i="6"/>
  <c r="U27" i="6"/>
  <c r="I26" i="6"/>
  <c r="L27" i="6"/>
  <c r="L25" i="6"/>
  <c r="AG26" i="6"/>
  <c r="AL27" i="6"/>
  <c r="AG29" i="6"/>
  <c r="AC23" i="6"/>
  <c r="AC27" i="6"/>
  <c r="AC28" i="6"/>
  <c r="AI29" i="6"/>
  <c r="U23" i="6"/>
  <c r="L23" i="6"/>
  <c r="AL29" i="6"/>
  <c r="AA29" i="6"/>
  <c r="U29" i="6"/>
  <c r="L29" i="6"/>
  <c r="F27" i="6"/>
  <c r="F26" i="6"/>
  <c r="AI25" i="6"/>
  <c r="AG23" i="6"/>
  <c r="AK64" i="3"/>
  <c r="U64" i="3"/>
  <c r="D48" i="3"/>
  <c r="AN48" i="3"/>
  <c r="AF48" i="3"/>
  <c r="D60" i="3"/>
  <c r="AK60" i="3"/>
  <c r="U60" i="3"/>
  <c r="D61" i="3"/>
  <c r="AN61" i="3"/>
  <c r="AF61" i="3"/>
  <c r="X61" i="3"/>
  <c r="P61" i="3"/>
  <c r="G61" i="3"/>
  <c r="D49" i="3"/>
  <c r="AN49" i="3"/>
  <c r="AK49" i="3"/>
  <c r="AF49" i="3"/>
  <c r="X49" i="3"/>
  <c r="U49" i="3"/>
  <c r="P49" i="3"/>
  <c r="G49" i="3"/>
  <c r="U48" i="3"/>
  <c r="D62" i="3"/>
  <c r="AN60" i="3"/>
  <c r="AF60" i="3"/>
  <c r="X60" i="3"/>
  <c r="P60" i="3"/>
  <c r="G60" i="3"/>
  <c r="AQ61" i="3"/>
  <c r="AI61" i="3"/>
  <c r="AA61" i="3"/>
  <c r="S61" i="3"/>
  <c r="J61" i="3"/>
  <c r="AO62" i="3"/>
  <c r="AK62" i="3"/>
  <c r="Y62" i="3"/>
  <c r="U62" i="3"/>
  <c r="H62" i="3"/>
  <c r="E49" i="3"/>
  <c r="AI63" i="3"/>
  <c r="S63" i="3"/>
  <c r="AS64" i="3"/>
  <c r="AC64" i="3"/>
  <c r="L64" i="3"/>
  <c r="AU48" i="3"/>
  <c r="AS48" i="3"/>
  <c r="AQ48" i="3"/>
  <c r="AO48" i="3"/>
  <c r="AM48" i="3"/>
  <c r="AK48" i="3"/>
  <c r="AI48" i="3"/>
  <c r="AG48" i="3"/>
  <c r="AE48" i="3"/>
  <c r="AC48" i="3"/>
  <c r="W48" i="3"/>
  <c r="Q48" i="3"/>
  <c r="AQ60" i="3"/>
  <c r="AI60" i="3"/>
  <c r="AA60" i="3"/>
  <c r="S60" i="3"/>
  <c r="J60" i="3"/>
  <c r="AT61" i="3"/>
  <c r="AL61" i="3"/>
  <c r="AD61" i="3"/>
  <c r="V61" i="3"/>
  <c r="M61" i="3"/>
  <c r="E61" i="3"/>
  <c r="AN62" i="3"/>
  <c r="AF62" i="3"/>
  <c r="X62" i="3"/>
  <c r="P62" i="3"/>
  <c r="G62" i="3"/>
  <c r="AU63" i="3"/>
  <c r="AE63" i="3"/>
  <c r="N63" i="3"/>
  <c r="AO64" i="3"/>
  <c r="Y64" i="3"/>
  <c r="H64" i="3"/>
  <c r="AI65" i="2"/>
  <c r="H65" i="2"/>
  <c r="AW64" i="2"/>
  <c r="AQ64" i="2"/>
  <c r="D56" i="2"/>
  <c r="AQ65" i="2"/>
  <c r="AO66" i="2"/>
  <c r="D55" i="2"/>
  <c r="AK55" i="2"/>
  <c r="AN65" i="2"/>
  <c r="AC65" i="2"/>
  <c r="K65" i="2"/>
  <c r="E65" i="2"/>
  <c r="P64" i="2"/>
  <c r="K64" i="2"/>
  <c r="G64" i="2"/>
  <c r="AN66" i="2"/>
  <c r="AH56" i="2"/>
  <c r="M56" i="2"/>
  <c r="K56" i="2"/>
  <c r="G56" i="2"/>
  <c r="N55" i="2"/>
  <c r="AW65" i="2"/>
  <c r="AO65" i="2"/>
  <c r="L65" i="2"/>
  <c r="D66" i="2"/>
  <c r="D67" i="2"/>
  <c r="AO56" i="2"/>
  <c r="AW55" i="2"/>
  <c r="AI55" i="2"/>
  <c r="AU65" i="2"/>
  <c r="AU64" i="2"/>
  <c r="AO64" i="2"/>
  <c r="AG64" i="2"/>
  <c r="AC64" i="2"/>
  <c r="Y64" i="2"/>
  <c r="AW66" i="2"/>
  <c r="AE66" i="2"/>
  <c r="W66" i="2"/>
  <c r="AC67" i="2"/>
  <c r="S67" i="2"/>
  <c r="Y56" i="2"/>
  <c r="AU55" i="2"/>
  <c r="Y65" i="2"/>
  <c r="N64" i="2"/>
  <c r="J64" i="2"/>
  <c r="F64" i="2"/>
  <c r="AU66" i="2"/>
  <c r="AP55" i="2"/>
  <c r="Z55" i="2"/>
  <c r="H55" i="2"/>
  <c r="Z66" i="2"/>
  <c r="H66" i="2"/>
  <c r="AT67" i="2"/>
  <c r="W67" i="2"/>
  <c r="F67" i="2"/>
  <c r="AT56" i="2"/>
  <c r="AK56" i="2"/>
  <c r="Z56" i="2"/>
  <c r="U56" i="2"/>
  <c r="J56" i="2"/>
  <c r="F56" i="2"/>
  <c r="AT55" i="2"/>
  <c r="AB55" i="2"/>
  <c r="J55" i="2"/>
  <c r="AP65" i="2"/>
  <c r="AK65" i="2"/>
  <c r="AB65" i="2"/>
  <c r="X65" i="2"/>
  <c r="N65" i="2"/>
  <c r="J65" i="2"/>
  <c r="F65" i="2"/>
  <c r="AV64" i="2"/>
  <c r="AP64" i="2"/>
  <c r="AD64" i="2"/>
  <c r="Z64" i="2"/>
  <c r="L64" i="2"/>
  <c r="H64" i="2"/>
  <c r="AM66" i="2"/>
  <c r="AD66" i="2"/>
  <c r="U66" i="2"/>
  <c r="AX67" i="2"/>
  <c r="AP67" i="2"/>
  <c r="AK67" i="2"/>
  <c r="AF67" i="2"/>
  <c r="U67" i="2"/>
  <c r="J67" i="2"/>
  <c r="X56" i="2"/>
  <c r="AM55" i="2"/>
  <c r="W55" i="2"/>
  <c r="AX65" i="2"/>
  <c r="AM65" i="2"/>
  <c r="AM64" i="2"/>
  <c r="AI64" i="2"/>
  <c r="W64" i="2"/>
  <c r="S64" i="2"/>
  <c r="AI66" i="2"/>
  <c r="L66" i="2"/>
  <c r="AP56" i="2"/>
  <c r="AM56" i="2"/>
  <c r="AI56" i="2"/>
  <c r="AB56" i="2"/>
  <c r="W56" i="2"/>
  <c r="S56" i="2"/>
  <c r="H56" i="2"/>
  <c r="AV55" i="2"/>
  <c r="AD55" i="2"/>
  <c r="L55" i="2"/>
  <c r="AK64" i="2"/>
  <c r="U64" i="2"/>
  <c r="N66" i="2"/>
  <c r="AW56" i="2"/>
  <c r="AU56" i="2"/>
  <c r="AE56" i="2"/>
  <c r="AC56" i="2"/>
  <c r="AQ67" i="2"/>
  <c r="AA67" i="2"/>
  <c r="AV56" i="2"/>
  <c r="AQ56" i="2"/>
  <c r="AL56" i="2"/>
  <c r="AJ56" i="2"/>
  <c r="AD56" i="2"/>
  <c r="AA56" i="2"/>
  <c r="V56" i="2"/>
  <c r="T56" i="2"/>
  <c r="L56" i="2"/>
  <c r="I56" i="2"/>
  <c r="AV65" i="2"/>
  <c r="AL65" i="2"/>
  <c r="AD65" i="2"/>
  <c r="AV67" i="2"/>
  <c r="AL67" i="2"/>
  <c r="AX56" i="2"/>
  <c r="AF56" i="2"/>
  <c r="N56" i="2"/>
  <c r="E56" i="2"/>
  <c r="X47" i="3"/>
  <c r="X48" i="3"/>
  <c r="P47" i="3"/>
  <c r="P48" i="3"/>
  <c r="Z47" i="3"/>
  <c r="Z48" i="3"/>
  <c r="R47" i="3"/>
  <c r="R48" i="3"/>
  <c r="AB47" i="3"/>
  <c r="AB48" i="3"/>
  <c r="T47" i="3"/>
  <c r="T48" i="3"/>
  <c r="K47" i="3"/>
  <c r="K48" i="3"/>
  <c r="AA48" i="3"/>
  <c r="V47" i="3"/>
  <c r="V48" i="3"/>
  <c r="S48" i="3"/>
  <c r="M47" i="3"/>
  <c r="M48" i="3"/>
  <c r="J48" i="3"/>
  <c r="Z23" i="6"/>
  <c r="Z24" i="6"/>
  <c r="I48" i="3"/>
  <c r="G48" i="3"/>
  <c r="E48" i="3"/>
  <c r="Q23" i="6"/>
  <c r="AW29" i="6"/>
  <c r="AE29" i="6"/>
  <c r="Z28" i="6"/>
  <c r="AU26" i="6"/>
  <c r="T26" i="6"/>
  <c r="Z25" i="6"/>
  <c r="O25" i="6"/>
  <c r="O24" i="6"/>
  <c r="AP49" i="3"/>
  <c r="Z49" i="3"/>
  <c r="I49" i="3"/>
  <c r="AT64" i="3"/>
  <c r="AL64" i="3"/>
  <c r="AD64" i="3"/>
  <c r="V64" i="3"/>
  <c r="M64" i="3"/>
  <c r="E64" i="3"/>
  <c r="AP23" i="6"/>
  <c r="AU29" i="6"/>
  <c r="AP28" i="6"/>
  <c r="Z27" i="6"/>
  <c r="AP26" i="6"/>
  <c r="R26" i="6"/>
  <c r="AU24" i="6"/>
  <c r="AK25" i="6"/>
  <c r="AK24" i="6"/>
  <c r="X29" i="6"/>
  <c r="X24" i="6"/>
  <c r="AT49" i="3"/>
  <c r="AD49" i="3"/>
  <c r="M49" i="3"/>
  <c r="AP64" i="3"/>
  <c r="AH64" i="3"/>
  <c r="Z64" i="3"/>
  <c r="R64" i="3"/>
  <c r="I64" i="3"/>
  <c r="D64" i="3"/>
  <c r="AR64" i="3"/>
  <c r="AN64" i="3"/>
  <c r="AJ64" i="3"/>
  <c r="AF64" i="3"/>
  <c r="AB64" i="3"/>
  <c r="X64" i="3"/>
  <c r="T64" i="3"/>
  <c r="P64" i="3"/>
  <c r="K64" i="3"/>
  <c r="G64" i="3"/>
</calcChain>
</file>

<file path=xl/sharedStrings.xml><?xml version="1.0" encoding="utf-8"?>
<sst xmlns="http://schemas.openxmlformats.org/spreadsheetml/2006/main" count="2059" uniqueCount="434">
  <si>
    <t>Label</t>
  </si>
  <si>
    <t>DXN</t>
  </si>
  <si>
    <t>QC</t>
  </si>
  <si>
    <t>TXN</t>
  </si>
  <si>
    <t>XN</t>
  </si>
  <si>
    <t>HDCA</t>
  </si>
  <si>
    <t>DCA-isomer</t>
  </si>
  <si>
    <t>DCA</t>
  </si>
  <si>
    <t>CA</t>
  </si>
  <si>
    <t>TDCA</t>
  </si>
  <si>
    <t>TDCA-isomer</t>
  </si>
  <si>
    <t>TDCA-isomer-2</t>
  </si>
  <si>
    <t>TCA</t>
  </si>
  <si>
    <t>Alpha-MCA</t>
  </si>
  <si>
    <t>Beta-MCA</t>
  </si>
  <si>
    <t>TUDCA</t>
  </si>
  <si>
    <t>T-alpha-MCA</t>
  </si>
  <si>
    <t>TCA isomer</t>
  </si>
  <si>
    <t>T-beta-MCA</t>
  </si>
  <si>
    <t>T-omega-MCA</t>
  </si>
  <si>
    <t>negFec-BAQC1</t>
  </si>
  <si>
    <t>negFec-BAQC2</t>
  </si>
  <si>
    <t>negFec-BAQC3</t>
  </si>
  <si>
    <t>negFec-BAQC4</t>
  </si>
  <si>
    <t>CDCA-d4</t>
  </si>
  <si>
    <t>Dry weight</t>
  </si>
  <si>
    <t>Internal standard</t>
  </si>
  <si>
    <r>
      <t>T-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scheme val="minor"/>
      </rPr>
      <t>-MCA</t>
    </r>
  </si>
  <si>
    <r>
      <t>T-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-MCA</t>
    </r>
  </si>
  <si>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-MCA</t>
    </r>
  </si>
  <si>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-MCA</t>
    </r>
  </si>
  <si>
    <r>
      <t>T-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-MCA</t>
    </r>
  </si>
  <si>
    <t>The data here are the raw data normalized, then log transformed and pareto scaled</t>
  </si>
  <si>
    <t>2- divided by the IS (CDCA-d4 = chenodeoxycholic acid-d4)</t>
  </si>
  <si>
    <t>This table is the extraction of the bile acids identified in fecal samples of mice fed a high fat diet with or without treatment (XN, DXN or TXN)</t>
  </si>
  <si>
    <t>The QC is a mixture of equal amounts of each metabolite extract</t>
  </si>
  <si>
    <t>Please note that I removed the sample #48 from the analysis (see email)</t>
  </si>
  <si>
    <t>Group</t>
  </si>
  <si>
    <t>Primary</t>
  </si>
  <si>
    <t>Secondary</t>
  </si>
  <si>
    <t>I grouped them into primary (synthesized by the liver) and secondary (modified by the gut microbiome)</t>
  </si>
  <si>
    <t>RAW data (LC-MS area under the curve)</t>
  </si>
  <si>
    <t>Normalized data (RAW data divided by IS)</t>
  </si>
  <si>
    <t>Normalized data (RAW data divided by IS and dry weight)</t>
  </si>
  <si>
    <r>
      <t xml:space="preserve">This table is the extraction of the bile acids and cholesterol identified in </t>
    </r>
    <r>
      <rPr>
        <sz val="11"/>
        <color rgb="FFFF0000"/>
        <rFont val="Calibri"/>
        <family val="2"/>
        <scheme val="minor"/>
      </rPr>
      <t xml:space="preserve">LIVER </t>
    </r>
    <r>
      <rPr>
        <sz val="11"/>
        <color theme="1"/>
        <rFont val="Calibri"/>
        <family val="2"/>
        <scheme val="minor"/>
      </rPr>
      <t>samples of mice fed a high fat diet with or without treatment (XN, DXN or TXN)</t>
    </r>
  </si>
  <si>
    <t>I grouped the bile acids into primary (synthesized by the liver) and secondary (modified by the gut microbiome)</t>
  </si>
  <si>
    <t>RL-1</t>
  </si>
  <si>
    <t>RL-2</t>
  </si>
  <si>
    <t>RL-3</t>
  </si>
  <si>
    <t>RL-4</t>
  </si>
  <si>
    <t>RL-5</t>
  </si>
  <si>
    <t>RL-6</t>
  </si>
  <si>
    <t>RL-7</t>
  </si>
  <si>
    <t>RL-8</t>
  </si>
  <si>
    <t>RL-9</t>
  </si>
  <si>
    <t>RL-10</t>
  </si>
  <si>
    <t>RL-11</t>
  </si>
  <si>
    <t>RL-13</t>
  </si>
  <si>
    <t>RL-15</t>
  </si>
  <si>
    <t>RL-16</t>
  </si>
  <si>
    <t>RL-17</t>
  </si>
  <si>
    <t>RL-18</t>
  </si>
  <si>
    <t>RL-19</t>
  </si>
  <si>
    <t>RL-20</t>
  </si>
  <si>
    <t>RL-21</t>
  </si>
  <si>
    <t>RL-22</t>
  </si>
  <si>
    <t>RL-23</t>
  </si>
  <si>
    <t>RL-24</t>
  </si>
  <si>
    <t>RL-25</t>
  </si>
  <si>
    <t>RL-26</t>
  </si>
  <si>
    <t>RL-27</t>
  </si>
  <si>
    <t>RL-28</t>
  </si>
  <si>
    <t>RL-29</t>
  </si>
  <si>
    <t>RL-30</t>
  </si>
  <si>
    <t>RL-31</t>
  </si>
  <si>
    <t>RL-32</t>
  </si>
  <si>
    <t>RL-33</t>
  </si>
  <si>
    <t>RL-34</t>
  </si>
  <si>
    <t>RL-35</t>
  </si>
  <si>
    <t>RL-36</t>
  </si>
  <si>
    <t>RL-37</t>
  </si>
  <si>
    <t>RL-38</t>
  </si>
  <si>
    <t>RL-39</t>
  </si>
  <si>
    <t>RL-40</t>
  </si>
  <si>
    <t>RL-43</t>
  </si>
  <si>
    <t>RL-44</t>
  </si>
  <si>
    <t>RL-45</t>
  </si>
  <si>
    <t>RL-46</t>
  </si>
  <si>
    <t>RL-48</t>
  </si>
  <si>
    <t>ID</t>
  </si>
  <si>
    <t>ctrl</t>
  </si>
  <si>
    <t>HDCA/UDCA</t>
  </si>
  <si>
    <t>ω-MCA</t>
  </si>
  <si>
    <t>β-MCA</t>
  </si>
  <si>
    <t>α-MCA</t>
  </si>
  <si>
    <t>TDCA isomer</t>
  </si>
  <si>
    <r>
      <t>T-</t>
    </r>
    <r>
      <rPr>
        <sz val="11"/>
        <color theme="1"/>
        <rFont val="Calibri"/>
        <family val="2"/>
      </rPr>
      <t>ω-</t>
    </r>
    <r>
      <rPr>
        <sz val="11"/>
        <color theme="1"/>
        <rFont val="Calibri"/>
        <family val="2"/>
        <scheme val="minor"/>
      </rPr>
      <t>MCA</t>
    </r>
  </si>
  <si>
    <r>
      <t>T-</t>
    </r>
    <r>
      <rPr>
        <sz val="11"/>
        <color theme="1"/>
        <rFont val="Calibri"/>
        <family val="2"/>
      </rPr>
      <t>α-</t>
    </r>
    <r>
      <rPr>
        <sz val="11"/>
        <color theme="1"/>
        <rFont val="Calibri"/>
        <family val="2"/>
        <scheme val="minor"/>
      </rPr>
      <t>MCA</t>
    </r>
  </si>
  <si>
    <t>IS CDCA-d4</t>
  </si>
  <si>
    <t>Cholesterol</t>
  </si>
  <si>
    <t>Cholesterol ester</t>
  </si>
  <si>
    <t>IS chol ester</t>
  </si>
  <si>
    <t>Bile acids are divided by the "IS CDCA-D4"</t>
  </si>
  <si>
    <t>Cholesterol and cholesterol ester are divided by the IS "IS chol ester"</t>
  </si>
  <si>
    <t>Normalized data log transformed and Pareto scaled</t>
  </si>
  <si>
    <t>TG 46_1</t>
  </si>
  <si>
    <t>TG 46_2</t>
  </si>
  <si>
    <t>TG 48_0</t>
  </si>
  <si>
    <t>TG 48_1</t>
  </si>
  <si>
    <t>TG 48_2</t>
  </si>
  <si>
    <t>TG 49_2</t>
  </si>
  <si>
    <t>TG 50_1</t>
  </si>
  <si>
    <t>TG 50_2</t>
  </si>
  <si>
    <t>TG 50_3</t>
  </si>
  <si>
    <t>TG 50_4</t>
  </si>
  <si>
    <t>TG 52_0</t>
  </si>
  <si>
    <t>TG 52_1</t>
  </si>
  <si>
    <t>TG 52_2</t>
  </si>
  <si>
    <t>TG 52_3</t>
  </si>
  <si>
    <t>TG 52_4</t>
  </si>
  <si>
    <t>TG 52_5</t>
  </si>
  <si>
    <t>TG 54_2</t>
  </si>
  <si>
    <t>TG 54_3</t>
  </si>
  <si>
    <t>TG 54_4</t>
  </si>
  <si>
    <t>TG 54_5</t>
  </si>
  <si>
    <t>TG 54_6</t>
  </si>
  <si>
    <t>TG 54_7</t>
  </si>
  <si>
    <t>TG 56_2</t>
  </si>
  <si>
    <t>TG 56_3</t>
  </si>
  <si>
    <t>TG 56_4</t>
  </si>
  <si>
    <t>TG 56_5</t>
  </si>
  <si>
    <t>TG 56_6</t>
  </si>
  <si>
    <t>TG 56_7</t>
  </si>
  <si>
    <t>TG 56_8</t>
  </si>
  <si>
    <t>TG 58_4</t>
  </si>
  <si>
    <t>TG 58_5</t>
  </si>
  <si>
    <t>TG 58_6</t>
  </si>
  <si>
    <t>TG 58_7</t>
  </si>
  <si>
    <t>TG 58_8</t>
  </si>
  <si>
    <t>TG 58_9</t>
  </si>
  <si>
    <t>1- divided by their dry weight (including the IS) - note that this table only is divided by the dry weight (because fecal samples)</t>
  </si>
  <si>
    <t>C16 ceramide</t>
  </si>
  <si>
    <t>C18 ceramide</t>
  </si>
  <si>
    <t>C20 ceramide</t>
  </si>
  <si>
    <t>C22 ceramide</t>
  </si>
  <si>
    <t>C24 ceramide</t>
  </si>
  <si>
    <t>C16 SM</t>
  </si>
  <si>
    <t>C18 SM</t>
  </si>
  <si>
    <t>C20 SM</t>
  </si>
  <si>
    <t>C22 SM</t>
  </si>
  <si>
    <t>C24 SM</t>
  </si>
  <si>
    <t>C22:1 ceramide</t>
  </si>
  <si>
    <t>C24:1 ceramide</t>
  </si>
  <si>
    <t>C18:1 SM</t>
  </si>
  <si>
    <t>C22:2 SM</t>
  </si>
  <si>
    <t>C22:1 SM</t>
  </si>
  <si>
    <t>C24:1 SM</t>
  </si>
  <si>
    <t>SM IS</t>
  </si>
  <si>
    <t>Conjugation</t>
  </si>
  <si>
    <t>Conjugated</t>
  </si>
  <si>
    <t>Unconjugated</t>
  </si>
  <si>
    <t>Class</t>
  </si>
  <si>
    <t>Ceramide</t>
  </si>
  <si>
    <t>SM</t>
  </si>
  <si>
    <t xml:space="preserve">Unconjugated </t>
  </si>
  <si>
    <t>Conjugated (bile salts)</t>
  </si>
  <si>
    <t>Sum TMCAs</t>
  </si>
  <si>
    <t xml:space="preserve">Sum total </t>
  </si>
  <si>
    <t>% TMCAs</t>
  </si>
  <si>
    <t>% unconjugated</t>
  </si>
  <si>
    <t xml:space="preserve">% unconjugated </t>
  </si>
  <si>
    <t>Sum TDCAs</t>
  </si>
  <si>
    <t xml:space="preserve">Sum TCAs </t>
  </si>
  <si>
    <t>DCA/CA</t>
  </si>
  <si>
    <t>% TbetaMCA</t>
  </si>
  <si>
    <t>% TalphaMCA</t>
  </si>
  <si>
    <t>%TomegaMCA</t>
  </si>
  <si>
    <t>DCA-isomer (CDCA)</t>
  </si>
  <si>
    <t>TDCA-isomer-2 (TCDCA)</t>
  </si>
  <si>
    <t>TDCA isomer (TCDCA)</t>
  </si>
  <si>
    <t>Sum SM</t>
  </si>
  <si>
    <t>SumSM</t>
  </si>
  <si>
    <t>%conjugated</t>
  </si>
  <si>
    <t>% conjugated</t>
  </si>
  <si>
    <t>Total Ceramides/SM</t>
  </si>
  <si>
    <t>Cer/Sum SM</t>
  </si>
  <si>
    <t>Sum Ceramides</t>
  </si>
  <si>
    <t>Sum Ceramide</t>
  </si>
  <si>
    <t>%TCDCA</t>
  </si>
  <si>
    <t>%wMCA</t>
  </si>
  <si>
    <t xml:space="preserve">Unconjugated primary </t>
  </si>
  <si>
    <t>Primary unconjugated (no w-MCA)</t>
  </si>
  <si>
    <t>Sample Name</t>
  </si>
  <si>
    <t>pos RL01</t>
  </si>
  <si>
    <t>pos RL02</t>
  </si>
  <si>
    <t>pos RL03</t>
  </si>
  <si>
    <t>pos RL04</t>
  </si>
  <si>
    <t>pos RL05</t>
  </si>
  <si>
    <t>pos RL06</t>
  </si>
  <si>
    <t>pos RL07</t>
  </si>
  <si>
    <t>pos RL08</t>
  </si>
  <si>
    <t>pos RL09</t>
  </si>
  <si>
    <t>pos RL10</t>
  </si>
  <si>
    <t>pos RL11</t>
  </si>
  <si>
    <t>pos RL13</t>
  </si>
  <si>
    <t>pos RL15</t>
  </si>
  <si>
    <t>pos RL16</t>
  </si>
  <si>
    <t>pos RL17</t>
  </si>
  <si>
    <t>pos RL18</t>
  </si>
  <si>
    <t>pos RL19</t>
  </si>
  <si>
    <t>pos RL20</t>
  </si>
  <si>
    <t>pos RL21</t>
  </si>
  <si>
    <t>pos RL22</t>
  </si>
  <si>
    <t>pos RL23</t>
  </si>
  <si>
    <t>pos RL24</t>
  </si>
  <si>
    <t>pos RL25</t>
  </si>
  <si>
    <t>pos RL26</t>
  </si>
  <si>
    <t>pos RL27</t>
  </si>
  <si>
    <t>pos RL28</t>
  </si>
  <si>
    <t>pos RL29</t>
  </si>
  <si>
    <t>pos RL30</t>
  </si>
  <si>
    <t>pos RL31</t>
  </si>
  <si>
    <t>pos RL32</t>
  </si>
  <si>
    <t>pos RL33</t>
  </si>
  <si>
    <t>pos RL34</t>
  </si>
  <si>
    <t>pos RL35</t>
  </si>
  <si>
    <t>pos RL36</t>
  </si>
  <si>
    <t>pos RL37</t>
  </si>
  <si>
    <t>pos RL38</t>
  </si>
  <si>
    <t>pos RL39</t>
  </si>
  <si>
    <t>pos RL40</t>
  </si>
  <si>
    <t>pos RL43</t>
  </si>
  <si>
    <t>pos RL44</t>
  </si>
  <si>
    <t>pos RL45</t>
  </si>
  <si>
    <t>pos RL46</t>
  </si>
  <si>
    <t>pos RL47</t>
  </si>
  <si>
    <t>pos RL48</t>
  </si>
  <si>
    <t>Sample group</t>
  </si>
  <si>
    <t>.control</t>
  </si>
  <si>
    <t>.XN</t>
  </si>
  <si>
    <t>PS</t>
  </si>
  <si>
    <t>PE 34_0</t>
  </si>
  <si>
    <t>PE 34_1</t>
  </si>
  <si>
    <t>PE 34_2</t>
  </si>
  <si>
    <t>PE 36_1</t>
  </si>
  <si>
    <t>PE 36_2</t>
  </si>
  <si>
    <t>PE 36_3</t>
  </si>
  <si>
    <t>PE 36_4</t>
  </si>
  <si>
    <t>PE 36_5</t>
  </si>
  <si>
    <t>PE 38_4</t>
  </si>
  <si>
    <t>PE 38_5</t>
  </si>
  <si>
    <t>PE 38_6</t>
  </si>
  <si>
    <t>PE 40_4</t>
  </si>
  <si>
    <t>PE 40_6</t>
  </si>
  <si>
    <t>PE 42_9</t>
  </si>
  <si>
    <t>PE 40_7</t>
  </si>
  <si>
    <t>LPC 14_0</t>
  </si>
  <si>
    <t>LPC 16_0</t>
  </si>
  <si>
    <t>LPC 16_1</t>
  </si>
  <si>
    <t>LPC 18_0</t>
  </si>
  <si>
    <t>LPC 18_1</t>
  </si>
  <si>
    <t>LPC 18_2</t>
  </si>
  <si>
    <t>LPC 18_3</t>
  </si>
  <si>
    <t>LPC 20_0</t>
  </si>
  <si>
    <t>LPC 20_1</t>
  </si>
  <si>
    <t>LPC 20_2</t>
  </si>
  <si>
    <t>LPC 20_3</t>
  </si>
  <si>
    <t>LPC 20_4</t>
  </si>
  <si>
    <t>LPC 20_5</t>
  </si>
  <si>
    <t>LPC 22_0</t>
  </si>
  <si>
    <t>LPC 22_4</t>
  </si>
  <si>
    <t>LPC 22_5</t>
  </si>
  <si>
    <t>LPC 22_6</t>
  </si>
  <si>
    <t>LPC 24_0</t>
  </si>
  <si>
    <t>LPC 26_0</t>
  </si>
  <si>
    <t>PC 32_0</t>
  </si>
  <si>
    <t>PC 32_1</t>
  </si>
  <si>
    <t>PC 34_0</t>
  </si>
  <si>
    <t>PC 34_1</t>
  </si>
  <si>
    <t>PC 34_2</t>
  </si>
  <si>
    <t>PC 34_3</t>
  </si>
  <si>
    <t>PC 36_0</t>
  </si>
  <si>
    <t>PC 36_1</t>
  </si>
  <si>
    <t>PC 36_2</t>
  </si>
  <si>
    <t>PC 36_3</t>
  </si>
  <si>
    <t>PC 36_4</t>
  </si>
  <si>
    <t>PC 36_5</t>
  </si>
  <si>
    <t>PC 38_3</t>
  </si>
  <si>
    <t>PC 38_4</t>
  </si>
  <si>
    <t>PC 38_5</t>
  </si>
  <si>
    <t>PC 38_6</t>
  </si>
  <si>
    <t>PC 40_4</t>
  </si>
  <si>
    <t>PC 40_5</t>
  </si>
  <si>
    <t>PC 40_6</t>
  </si>
  <si>
    <t>PC 40_7</t>
  </si>
  <si>
    <t>PC 40_8</t>
  </si>
  <si>
    <t>PI 34:1</t>
  </si>
  <si>
    <t>PI 34:2</t>
  </si>
  <si>
    <t>PI 36:1</t>
  </si>
  <si>
    <t>PI 36:2</t>
  </si>
  <si>
    <t>PI 36:3</t>
  </si>
  <si>
    <t>PI 36:4</t>
  </si>
  <si>
    <t>PI 38:5</t>
  </si>
  <si>
    <t>PI 38:6</t>
  </si>
  <si>
    <t>PI 40:4</t>
  </si>
  <si>
    <t>PI 40:5</t>
  </si>
  <si>
    <t>PI 40:6</t>
  </si>
  <si>
    <t>LPI 16:1</t>
  </si>
  <si>
    <t>LPI 16:0</t>
  </si>
  <si>
    <t>LPI 18:0</t>
  </si>
  <si>
    <t>LPI 18:1</t>
  </si>
  <si>
    <t>LPI 20:4</t>
  </si>
  <si>
    <t>LPE 16_0</t>
  </si>
  <si>
    <t>LPE 16_1</t>
  </si>
  <si>
    <t>LPE 18_0</t>
  </si>
  <si>
    <t>LPE 18_1</t>
  </si>
  <si>
    <t>LPE 18_2</t>
  </si>
  <si>
    <t>LPE 22_6</t>
  </si>
  <si>
    <t>DG 32:0</t>
  </si>
  <si>
    <t>DG 34:1</t>
  </si>
  <si>
    <t>DG 34:2</t>
  </si>
  <si>
    <t>DG 34:3</t>
  </si>
  <si>
    <t>DG 36:1</t>
  </si>
  <si>
    <t>DG 36:2</t>
  </si>
  <si>
    <t>DG 36:3</t>
  </si>
  <si>
    <t>DG 36:4</t>
  </si>
  <si>
    <t>DG 36:5</t>
  </si>
  <si>
    <t>DG 36:6</t>
  </si>
  <si>
    <t>DG 38:4</t>
  </si>
  <si>
    <t>DG 38:5</t>
  </si>
  <si>
    <t>DG 38:6</t>
  </si>
  <si>
    <t>DG 38:7</t>
  </si>
  <si>
    <t>posRL01</t>
  </si>
  <si>
    <t>posRL02</t>
  </si>
  <si>
    <t>posRL03</t>
  </si>
  <si>
    <t>posRL04</t>
  </si>
  <si>
    <t>posRL05</t>
  </si>
  <si>
    <t>posRL06</t>
  </si>
  <si>
    <t>posRL07</t>
  </si>
  <si>
    <t>posRL08</t>
  </si>
  <si>
    <t>posRL09</t>
  </si>
  <si>
    <t>posRL10</t>
  </si>
  <si>
    <t>posRL11</t>
  </si>
  <si>
    <t>posRL13</t>
  </si>
  <si>
    <t>posRL15</t>
  </si>
  <si>
    <t>posRL16</t>
  </si>
  <si>
    <t>posRL17</t>
  </si>
  <si>
    <t>posRL18</t>
  </si>
  <si>
    <t>posRL19</t>
  </si>
  <si>
    <t>posRL20</t>
  </si>
  <si>
    <t>posRL21</t>
  </si>
  <si>
    <t>posRL22</t>
  </si>
  <si>
    <t>posRL23</t>
  </si>
  <si>
    <t>posRL24</t>
  </si>
  <si>
    <t>posRL25</t>
  </si>
  <si>
    <t>posRL26</t>
  </si>
  <si>
    <t>posRL27</t>
  </si>
  <si>
    <t>posRL28</t>
  </si>
  <si>
    <t>posRL29</t>
  </si>
  <si>
    <t>posRL30</t>
  </si>
  <si>
    <t>posRL31</t>
  </si>
  <si>
    <t>posRL32</t>
  </si>
  <si>
    <t>posRL33</t>
  </si>
  <si>
    <t>posRL34</t>
  </si>
  <si>
    <t>posRL35</t>
  </si>
  <si>
    <t>posRL36</t>
  </si>
  <si>
    <t>posRL37</t>
  </si>
  <si>
    <t>posRL38</t>
  </si>
  <si>
    <t>posRL39</t>
  </si>
  <si>
    <t>posRL40</t>
  </si>
  <si>
    <t>posRL43</t>
  </si>
  <si>
    <t>posRL44</t>
  </si>
  <si>
    <t>posRL45</t>
  </si>
  <si>
    <t>posRL46</t>
  </si>
  <si>
    <t>posRL47</t>
  </si>
  <si>
    <t>posRL48</t>
  </si>
  <si>
    <t>negRL01</t>
  </si>
  <si>
    <t>negRL02</t>
  </si>
  <si>
    <t>negRL03</t>
  </si>
  <si>
    <t>negRL04</t>
  </si>
  <si>
    <t>negRL05</t>
  </si>
  <si>
    <t>negRL06</t>
  </si>
  <si>
    <t>negRL07</t>
  </si>
  <si>
    <t>negRL08</t>
  </si>
  <si>
    <t>negRL09</t>
  </si>
  <si>
    <t>negRL10</t>
  </si>
  <si>
    <t>negRL11</t>
  </si>
  <si>
    <t>negRL13</t>
  </si>
  <si>
    <t>negRL15</t>
  </si>
  <si>
    <t>negRL16</t>
  </si>
  <si>
    <t>negRL17</t>
  </si>
  <si>
    <t>negRL18</t>
  </si>
  <si>
    <t>negRL19</t>
  </si>
  <si>
    <t>negRL20</t>
  </si>
  <si>
    <t>negRL21</t>
  </si>
  <si>
    <t>negRL22</t>
  </si>
  <si>
    <t>negRL23</t>
  </si>
  <si>
    <t>negRL24</t>
  </si>
  <si>
    <t>negRL25</t>
  </si>
  <si>
    <t>negRL26</t>
  </si>
  <si>
    <t>negRL27</t>
  </si>
  <si>
    <t>negRL28</t>
  </si>
  <si>
    <t>negRL29</t>
  </si>
  <si>
    <t>negRL30</t>
  </si>
  <si>
    <t>negRL31</t>
  </si>
  <si>
    <t>negRL32</t>
  </si>
  <si>
    <t>negRL33</t>
  </si>
  <si>
    <t>negRL34</t>
  </si>
  <si>
    <t>negRL35</t>
  </si>
  <si>
    <t>negRL36</t>
  </si>
  <si>
    <t>negRL37</t>
  </si>
  <si>
    <t>negRL38</t>
  </si>
  <si>
    <t>negRL39</t>
  </si>
  <si>
    <t>negRL40</t>
  </si>
  <si>
    <t>negRL43</t>
  </si>
  <si>
    <t>negRL44</t>
  </si>
  <si>
    <t>negRL45</t>
  </si>
  <si>
    <t>negRL46</t>
  </si>
  <si>
    <t>negRL47</t>
  </si>
  <si>
    <t>negRL48</t>
  </si>
  <si>
    <t>PS 38:4</t>
  </si>
  <si>
    <t>PS 40:4</t>
  </si>
  <si>
    <t>sphinganine d16:0</t>
  </si>
  <si>
    <t>sphingosine d18:1</t>
  </si>
  <si>
    <t>sphingosine d20:1</t>
  </si>
  <si>
    <t>C16:1 SM</t>
  </si>
  <si>
    <t>C20:1 SM</t>
  </si>
  <si>
    <t>Sphingolipids (SL)</t>
  </si>
  <si>
    <t xml:space="preserve">All values are raw LC-MS area under the curve normalized over IS area under the curve </t>
  </si>
  <si>
    <t>PC and LPC</t>
  </si>
  <si>
    <t>PE and LPE</t>
  </si>
  <si>
    <t>PI and LPI</t>
  </si>
  <si>
    <t>Cholesterols</t>
  </si>
  <si>
    <t>DG and 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</si>
</sst>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0">
    <xf numFmtId="0" fontId="0" fillId="0" borderId="0" xfId="0"/>
    <xf numFmtId="0" fontId="6" fillId="2" borderId="0" xfId="6"/>
    <xf numFmtId="1" fontId="0" fillId="0" borderId="0" xfId="0" applyNumberFormat="1"/>
    <xf numFmtId="164" fontId="0" fillId="0" borderId="0" xfId="0" applyNumberFormat="1"/>
    <xf numFmtId="0" fontId="0" fillId="33" borderId="0" xfId="0" applyFill="1"/>
    <xf numFmtId="0" fontId="0" fillId="0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6" fillId="0" borderId="0" xfId="6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6" fillId="35" borderId="0" xfId="6" applyFill="1"/>
    <xf numFmtId="0" fontId="0" fillId="45" borderId="0" xfId="0" applyFill="1"/>
  </cellXfs>
  <cellStyles count="9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8"/>
  <sheetViews>
    <sheetView topLeftCell="A44" workbookViewId="0">
      <selection activeCell="D74" sqref="D74:AX88"/>
    </sheetView>
  </sheetViews>
  <sheetFormatPr baseColWidth="10" defaultColWidth="8.83203125" defaultRowHeight="15" x14ac:dyDescent="0.2"/>
  <cols>
    <col min="1" max="3" width="21.83203125" customWidth="1"/>
    <col min="4" max="54" width="12.6640625" customWidth="1"/>
  </cols>
  <sheetData>
    <row r="1" spans="1:54" x14ac:dyDescent="0.2">
      <c r="A1" t="s">
        <v>34</v>
      </c>
    </row>
    <row r="2" spans="1:54" x14ac:dyDescent="0.2">
      <c r="A2" t="s">
        <v>35</v>
      </c>
    </row>
    <row r="3" spans="1:54" x14ac:dyDescent="0.2">
      <c r="A3" t="s">
        <v>36</v>
      </c>
    </row>
    <row r="4" spans="1:54" x14ac:dyDescent="0.2">
      <c r="A4" t="s">
        <v>40</v>
      </c>
    </row>
    <row r="5" spans="1:54" x14ac:dyDescent="0.2">
      <c r="C5" s="1" t="s">
        <v>41</v>
      </c>
      <c r="D5" s="1"/>
    </row>
    <row r="8" spans="1:54" x14ac:dyDescent="0.2"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P8" t="s">
        <v>57</v>
      </c>
      <c r="R8" t="s">
        <v>58</v>
      </c>
      <c r="S8" t="s">
        <v>59</v>
      </c>
      <c r="T8" t="s">
        <v>60</v>
      </c>
      <c r="U8" t="s">
        <v>61</v>
      </c>
      <c r="V8" t="s">
        <v>62</v>
      </c>
      <c r="W8" t="s">
        <v>63</v>
      </c>
      <c r="X8" t="s">
        <v>64</v>
      </c>
      <c r="Y8" t="s">
        <v>65</v>
      </c>
      <c r="Z8" t="s">
        <v>66</v>
      </c>
      <c r="AA8" t="s">
        <v>67</v>
      </c>
      <c r="AB8" t="s">
        <v>68</v>
      </c>
      <c r="AC8" t="s">
        <v>69</v>
      </c>
      <c r="AD8" t="s">
        <v>70</v>
      </c>
      <c r="AE8" t="s">
        <v>71</v>
      </c>
      <c r="AF8" t="s">
        <v>72</v>
      </c>
      <c r="AG8" t="s">
        <v>73</v>
      </c>
      <c r="AH8" t="s">
        <v>74</v>
      </c>
      <c r="AI8" t="s">
        <v>75</v>
      </c>
      <c r="AJ8" t="s">
        <v>76</v>
      </c>
      <c r="AK8" t="s">
        <v>77</v>
      </c>
      <c r="AL8" t="s">
        <v>78</v>
      </c>
      <c r="AM8" t="s">
        <v>79</v>
      </c>
      <c r="AN8" t="s">
        <v>80</v>
      </c>
      <c r="AO8" t="s">
        <v>81</v>
      </c>
      <c r="AP8" t="s">
        <v>82</v>
      </c>
      <c r="AQ8" t="s">
        <v>83</v>
      </c>
      <c r="AT8" t="s">
        <v>84</v>
      </c>
      <c r="AU8" t="s">
        <v>85</v>
      </c>
      <c r="AV8" t="s">
        <v>86</v>
      </c>
      <c r="AW8" t="s">
        <v>87</v>
      </c>
      <c r="AX8" t="s">
        <v>88</v>
      </c>
      <c r="AY8" t="s">
        <v>20</v>
      </c>
      <c r="AZ8" t="s">
        <v>21</v>
      </c>
      <c r="BA8" t="s">
        <v>22</v>
      </c>
      <c r="BB8" t="s">
        <v>23</v>
      </c>
    </row>
    <row r="9" spans="1:54" x14ac:dyDescent="0.2">
      <c r="A9" t="s">
        <v>37</v>
      </c>
      <c r="B9" t="s">
        <v>158</v>
      </c>
      <c r="C9" t="s">
        <v>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P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3</v>
      </c>
      <c r="AO9" t="s">
        <v>3</v>
      </c>
      <c r="AP9" t="s">
        <v>3</v>
      </c>
      <c r="AQ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2</v>
      </c>
      <c r="AZ9" t="s">
        <v>2</v>
      </c>
      <c r="BA9" t="s">
        <v>2</v>
      </c>
      <c r="BB9" t="s">
        <v>2</v>
      </c>
    </row>
    <row r="10" spans="1:54" x14ac:dyDescent="0.2">
      <c r="A10" t="s">
        <v>39</v>
      </c>
      <c r="B10" t="s">
        <v>160</v>
      </c>
      <c r="C10" t="s">
        <v>5</v>
      </c>
      <c r="D10">
        <v>378.2568349</v>
      </c>
      <c r="E10">
        <v>135.22275629999999</v>
      </c>
      <c r="F10">
        <v>177.89228019999999</v>
      </c>
      <c r="G10">
        <v>210.95324679999999</v>
      </c>
      <c r="H10">
        <v>124.37350410000001</v>
      </c>
      <c r="I10">
        <v>192.62190430000001</v>
      </c>
      <c r="J10">
        <v>460.17275030000002</v>
      </c>
      <c r="K10">
        <v>295.10853709999998</v>
      </c>
      <c r="L10">
        <v>190.9737087</v>
      </c>
      <c r="M10">
        <v>222.5917479</v>
      </c>
      <c r="N10">
        <v>181.62107779999999</v>
      </c>
      <c r="P10">
        <v>243.46552170000001</v>
      </c>
      <c r="R10">
        <v>161.92165850000001</v>
      </c>
      <c r="S10">
        <v>186.86617649999999</v>
      </c>
      <c r="T10">
        <v>143.03112479999999</v>
      </c>
      <c r="U10">
        <v>316.52200599999998</v>
      </c>
      <c r="V10">
        <v>102.9395451</v>
      </c>
      <c r="W10">
        <v>216.86779490000001</v>
      </c>
      <c r="X10">
        <v>385.47055130000001</v>
      </c>
      <c r="Y10">
        <v>171.53885159999999</v>
      </c>
      <c r="Z10">
        <v>349.01798780000001</v>
      </c>
      <c r="AA10">
        <v>167.78585200000001</v>
      </c>
      <c r="AB10">
        <v>52.796002799999997</v>
      </c>
      <c r="AC10">
        <v>18.2353691</v>
      </c>
      <c r="AD10">
        <v>35.485312999999998</v>
      </c>
      <c r="AE10">
        <v>82.656274800000006</v>
      </c>
      <c r="AF10">
        <v>117.4941165</v>
      </c>
      <c r="AG10">
        <v>3.2764145</v>
      </c>
      <c r="AH10">
        <v>10.405907600000001</v>
      </c>
      <c r="AI10">
        <v>6.4525781999999996</v>
      </c>
      <c r="AJ10">
        <v>66.079871499999996</v>
      </c>
      <c r="AK10">
        <v>10.736760500000001</v>
      </c>
      <c r="AL10">
        <v>12.940712100000001</v>
      </c>
      <c r="AM10">
        <v>39.955190000000002</v>
      </c>
      <c r="AN10">
        <v>45.070111699999998</v>
      </c>
      <c r="AO10">
        <v>1.9954212</v>
      </c>
      <c r="AP10">
        <v>141.42311900000001</v>
      </c>
      <c r="AQ10">
        <v>6.4976890000000003</v>
      </c>
      <c r="AT10">
        <v>4.9875574</v>
      </c>
      <c r="AU10">
        <v>55.906831400000002</v>
      </c>
      <c r="AV10">
        <v>6.5789536999999996</v>
      </c>
      <c r="AW10">
        <v>20.6049294</v>
      </c>
      <c r="AX10">
        <v>6.1166257000000002</v>
      </c>
      <c r="AY10">
        <v>208.05358330000001</v>
      </c>
      <c r="AZ10">
        <v>159.54336910000001</v>
      </c>
      <c r="BA10">
        <v>153.98266419999999</v>
      </c>
      <c r="BB10">
        <v>161.52354679999999</v>
      </c>
    </row>
    <row r="11" spans="1:54" x14ac:dyDescent="0.2">
      <c r="A11" t="s">
        <v>39</v>
      </c>
      <c r="B11" t="s">
        <v>160</v>
      </c>
      <c r="C11" t="s">
        <v>6</v>
      </c>
      <c r="D11">
        <v>52.806852110000001</v>
      </c>
      <c r="E11">
        <v>9.2579755200000005</v>
      </c>
      <c r="F11">
        <v>17.016333700000001</v>
      </c>
      <c r="G11">
        <v>13.986981699999999</v>
      </c>
      <c r="H11">
        <v>9.53861983</v>
      </c>
      <c r="I11">
        <v>15.7658434</v>
      </c>
      <c r="J11">
        <v>45.110561949999997</v>
      </c>
      <c r="K11">
        <v>33.220018719999999</v>
      </c>
      <c r="L11">
        <v>20.126148010000001</v>
      </c>
      <c r="M11">
        <v>25.318218909999999</v>
      </c>
      <c r="N11">
        <v>9.2421803800000006</v>
      </c>
      <c r="P11">
        <v>18.767242400000001</v>
      </c>
      <c r="R11">
        <v>11.078743080000001</v>
      </c>
      <c r="S11">
        <v>18.977194730000001</v>
      </c>
      <c r="T11">
        <v>12.152348440000001</v>
      </c>
      <c r="U11">
        <v>16.514411769999999</v>
      </c>
      <c r="V11">
        <v>4.7353840900000002</v>
      </c>
      <c r="W11">
        <v>8.2795870699999998</v>
      </c>
      <c r="X11">
        <v>15.09914461</v>
      </c>
      <c r="Y11">
        <v>4.0348011899999996</v>
      </c>
      <c r="Z11">
        <v>19.527863610000001</v>
      </c>
      <c r="AA11">
        <v>8.9407214400000008</v>
      </c>
      <c r="AB11">
        <v>3.8313763299999999</v>
      </c>
      <c r="AC11">
        <v>1.15678394</v>
      </c>
      <c r="AD11">
        <v>3.2713105599999999</v>
      </c>
      <c r="AE11">
        <v>8.5016898399999992</v>
      </c>
      <c r="AF11">
        <v>13.66547166</v>
      </c>
      <c r="AG11">
        <v>1.71571764</v>
      </c>
      <c r="AH11">
        <v>1.0012567999999999</v>
      </c>
      <c r="AI11">
        <v>0.98725940999999995</v>
      </c>
      <c r="AJ11">
        <v>5.7939841999999997</v>
      </c>
      <c r="AK11">
        <v>1.5500762400000001</v>
      </c>
      <c r="AL11">
        <v>3.2763627199999998</v>
      </c>
      <c r="AM11">
        <v>1.2924612499999999</v>
      </c>
      <c r="AN11">
        <v>5.97553746</v>
      </c>
      <c r="AO11">
        <v>1.43922032</v>
      </c>
      <c r="AP11">
        <v>3.5944617600000002</v>
      </c>
      <c r="AQ11">
        <v>3.9467542099999999</v>
      </c>
      <c r="AT11">
        <v>1.67194775</v>
      </c>
      <c r="AU11">
        <v>6.9067574399999998</v>
      </c>
      <c r="AV11">
        <v>1.5415203</v>
      </c>
      <c r="AW11">
        <v>1.3057213400000001</v>
      </c>
      <c r="AX11">
        <v>1.3235535</v>
      </c>
      <c r="AY11">
        <v>11.200337879999999</v>
      </c>
      <c r="AZ11">
        <v>11.14059161</v>
      </c>
      <c r="BA11">
        <v>26.321119830000001</v>
      </c>
      <c r="BB11">
        <v>11.332117269999999</v>
      </c>
    </row>
    <row r="12" spans="1:54" x14ac:dyDescent="0.2">
      <c r="A12" t="s">
        <v>39</v>
      </c>
      <c r="B12" t="s">
        <v>160</v>
      </c>
      <c r="C12" t="s">
        <v>7</v>
      </c>
      <c r="D12">
        <v>1595.54188</v>
      </c>
      <c r="E12">
        <v>826.27265999999997</v>
      </c>
      <c r="F12">
        <v>937.31718000000001</v>
      </c>
      <c r="G12">
        <v>953.18839000000003</v>
      </c>
      <c r="H12">
        <v>688.21700999999996</v>
      </c>
      <c r="I12">
        <v>1111.90444</v>
      </c>
      <c r="J12">
        <v>2425.69326</v>
      </c>
      <c r="K12">
        <v>1053.1855800000001</v>
      </c>
      <c r="L12">
        <v>939.58491000000004</v>
      </c>
      <c r="M12">
        <v>1618.1465700000001</v>
      </c>
      <c r="N12">
        <v>950.73325999999997</v>
      </c>
      <c r="P12">
        <v>1028.70018</v>
      </c>
      <c r="R12">
        <v>1140.11472</v>
      </c>
      <c r="S12">
        <v>662.98802000000001</v>
      </c>
      <c r="T12">
        <v>845.75959</v>
      </c>
      <c r="U12">
        <v>1358.78178</v>
      </c>
      <c r="V12">
        <v>566.52263000000005</v>
      </c>
      <c r="W12">
        <v>1104.76286</v>
      </c>
      <c r="X12">
        <v>1320.2155499999999</v>
      </c>
      <c r="Y12">
        <v>787.94772</v>
      </c>
      <c r="Z12">
        <v>1539.51863</v>
      </c>
      <c r="AA12">
        <v>577.71856000000002</v>
      </c>
      <c r="AB12">
        <v>353.70803000000001</v>
      </c>
      <c r="AC12">
        <v>198.04768000000001</v>
      </c>
      <c r="AD12">
        <v>349.37425000000002</v>
      </c>
      <c r="AE12">
        <v>975.29534000000001</v>
      </c>
      <c r="AF12">
        <v>1104.53872</v>
      </c>
      <c r="AG12">
        <v>41.400730000000003</v>
      </c>
      <c r="AH12">
        <v>187.47125</v>
      </c>
      <c r="AI12">
        <v>96.554239999999993</v>
      </c>
      <c r="AJ12">
        <v>530.42202999999995</v>
      </c>
      <c r="AK12">
        <v>166.35807</v>
      </c>
      <c r="AL12">
        <v>163.21731</v>
      </c>
      <c r="AM12">
        <v>453.70945</v>
      </c>
      <c r="AN12">
        <v>501.75923</v>
      </c>
      <c r="AO12">
        <v>32.194600000000001</v>
      </c>
      <c r="AP12">
        <v>1128.0224499999999</v>
      </c>
      <c r="AQ12">
        <v>39.708550000000002</v>
      </c>
      <c r="AT12">
        <v>37.42474</v>
      </c>
      <c r="AU12">
        <v>664.26873000000001</v>
      </c>
      <c r="AV12">
        <v>36.630049999999997</v>
      </c>
      <c r="AW12">
        <v>250.19844000000001</v>
      </c>
      <c r="AX12">
        <v>69.84796</v>
      </c>
      <c r="AY12">
        <v>856.08306000000005</v>
      </c>
      <c r="AZ12">
        <v>913.99698000000001</v>
      </c>
      <c r="BA12">
        <v>880.26324</v>
      </c>
      <c r="BB12">
        <v>966.15044</v>
      </c>
    </row>
    <row r="13" spans="1:54" x14ac:dyDescent="0.2">
      <c r="A13" t="s">
        <v>38</v>
      </c>
      <c r="B13" t="s">
        <v>160</v>
      </c>
      <c r="C13" t="s">
        <v>30</v>
      </c>
      <c r="D13">
        <v>112.4510482</v>
      </c>
      <c r="E13">
        <v>71.018772299999995</v>
      </c>
      <c r="F13">
        <v>61.8021466</v>
      </c>
      <c r="G13">
        <v>99.810214200000004</v>
      </c>
      <c r="H13">
        <v>46.375233399999999</v>
      </c>
      <c r="I13">
        <v>140.49792909999999</v>
      </c>
      <c r="J13">
        <v>174.80969690000001</v>
      </c>
      <c r="K13">
        <v>125.7779671</v>
      </c>
      <c r="L13">
        <v>126.1891911</v>
      </c>
      <c r="M13">
        <v>130.10153500000001</v>
      </c>
      <c r="N13">
        <v>93.534380499999997</v>
      </c>
      <c r="P13">
        <v>79.993116900000004</v>
      </c>
      <c r="R13">
        <v>92.409150699999998</v>
      </c>
      <c r="S13">
        <v>42.788240700000003</v>
      </c>
      <c r="T13">
        <v>46.896507999999997</v>
      </c>
      <c r="U13">
        <v>88.062290200000007</v>
      </c>
      <c r="V13">
        <v>111.6111511</v>
      </c>
      <c r="W13">
        <v>115.61363660000001</v>
      </c>
      <c r="X13">
        <v>119.33851</v>
      </c>
      <c r="Y13">
        <v>101.735522</v>
      </c>
      <c r="Z13">
        <v>114.528859</v>
      </c>
      <c r="AA13">
        <v>77.6100955</v>
      </c>
      <c r="AB13">
        <v>45.112999100000003</v>
      </c>
      <c r="AC13">
        <v>33.640158300000003</v>
      </c>
      <c r="AD13">
        <v>53.943540900000002</v>
      </c>
      <c r="AE13">
        <v>85.169628700000004</v>
      </c>
      <c r="AF13">
        <v>64.850126700000004</v>
      </c>
      <c r="AG13">
        <v>6.8748148000000002</v>
      </c>
      <c r="AH13">
        <v>34.0764864</v>
      </c>
      <c r="AI13">
        <v>14.305869599999999</v>
      </c>
      <c r="AJ13">
        <v>69.3717319</v>
      </c>
      <c r="AK13">
        <v>20.463925</v>
      </c>
      <c r="AL13">
        <v>15.819388099999999</v>
      </c>
      <c r="AM13">
        <v>76.954110900000003</v>
      </c>
      <c r="AN13">
        <v>75.970823999999993</v>
      </c>
      <c r="AO13">
        <v>6.7272496999999998</v>
      </c>
      <c r="AP13">
        <v>49.828197899999999</v>
      </c>
      <c r="AQ13">
        <v>9.6559761000000002</v>
      </c>
      <c r="AT13">
        <v>11.195433100000001</v>
      </c>
      <c r="AU13">
        <v>90.571627300000003</v>
      </c>
      <c r="AV13">
        <v>18.426061700000002</v>
      </c>
      <c r="AW13">
        <v>39.972178399999997</v>
      </c>
      <c r="AX13">
        <v>19.542979299999999</v>
      </c>
      <c r="AY13">
        <v>73.850142099999999</v>
      </c>
      <c r="AZ13">
        <v>75.089483799999996</v>
      </c>
      <c r="BA13">
        <v>70.197413499999996</v>
      </c>
      <c r="BB13">
        <v>89.103959599999996</v>
      </c>
    </row>
    <row r="14" spans="1:54" x14ac:dyDescent="0.2">
      <c r="A14" t="s">
        <v>38</v>
      </c>
      <c r="B14" t="s">
        <v>160</v>
      </c>
      <c r="C14" t="s">
        <v>8</v>
      </c>
      <c r="D14">
        <v>1572.82169</v>
      </c>
      <c r="E14">
        <v>64.359120000000004</v>
      </c>
      <c r="F14">
        <v>519.40332999999998</v>
      </c>
      <c r="G14">
        <v>293.38623000000001</v>
      </c>
      <c r="H14">
        <v>106.25346999999999</v>
      </c>
      <c r="I14">
        <v>340.63911999999999</v>
      </c>
      <c r="J14">
        <v>874.33984999999996</v>
      </c>
      <c r="K14">
        <v>438.16566</v>
      </c>
      <c r="L14">
        <v>195.93628000000001</v>
      </c>
      <c r="M14">
        <v>373.42545999999999</v>
      </c>
      <c r="N14">
        <v>421.63319999999999</v>
      </c>
      <c r="P14">
        <v>434.07612999999998</v>
      </c>
      <c r="R14">
        <v>766.29380000000003</v>
      </c>
      <c r="S14">
        <v>115.20833</v>
      </c>
      <c r="T14">
        <v>406.23613999999998</v>
      </c>
      <c r="U14">
        <v>466.94409999999999</v>
      </c>
      <c r="V14">
        <v>113.43046</v>
      </c>
      <c r="W14">
        <v>272.63740000000001</v>
      </c>
      <c r="X14">
        <v>199.09554</v>
      </c>
      <c r="Y14">
        <v>304.00666999999999</v>
      </c>
      <c r="Z14">
        <v>408.69945999999999</v>
      </c>
      <c r="AA14">
        <v>697.75073999999995</v>
      </c>
      <c r="AB14">
        <v>442.84563000000003</v>
      </c>
      <c r="AC14">
        <v>358.10153000000003</v>
      </c>
      <c r="AD14">
        <v>83.793379999999999</v>
      </c>
      <c r="AE14">
        <v>227.54132000000001</v>
      </c>
      <c r="AF14">
        <v>1809.3745899999999</v>
      </c>
      <c r="AG14">
        <v>343.95909999999998</v>
      </c>
      <c r="AH14">
        <v>177.66152</v>
      </c>
      <c r="AI14">
        <v>238.11767</v>
      </c>
      <c r="AJ14">
        <v>182.31507999999999</v>
      </c>
      <c r="AK14">
        <v>190.02159</v>
      </c>
      <c r="AL14">
        <v>249.07828000000001</v>
      </c>
      <c r="AM14">
        <v>666.70176000000004</v>
      </c>
      <c r="AN14">
        <v>571.35392000000002</v>
      </c>
      <c r="AO14">
        <v>81.788290000000003</v>
      </c>
      <c r="AP14">
        <v>219.99449000000001</v>
      </c>
      <c r="AQ14">
        <v>138.45084</v>
      </c>
      <c r="AT14">
        <v>67.381910000000005</v>
      </c>
      <c r="AU14">
        <v>298.02143999999998</v>
      </c>
      <c r="AV14">
        <v>110.50608</v>
      </c>
      <c r="AW14">
        <v>148.66289</v>
      </c>
      <c r="AX14">
        <v>393.84672</v>
      </c>
      <c r="AY14">
        <v>408.17711000000003</v>
      </c>
      <c r="AZ14">
        <v>410.30991</v>
      </c>
      <c r="BA14">
        <v>414.97917999999999</v>
      </c>
      <c r="BB14">
        <v>609.93349000000001</v>
      </c>
    </row>
    <row r="15" spans="1:54" x14ac:dyDescent="0.2">
      <c r="A15" t="s">
        <v>38</v>
      </c>
      <c r="B15" t="s">
        <v>160</v>
      </c>
      <c r="C15" t="s">
        <v>29</v>
      </c>
      <c r="D15">
        <v>1471.4080899999999</v>
      </c>
      <c r="E15">
        <v>816.49746000000005</v>
      </c>
      <c r="F15">
        <v>742.51777000000004</v>
      </c>
      <c r="G15">
        <v>837.06343000000004</v>
      </c>
      <c r="H15">
        <v>397.68382000000003</v>
      </c>
      <c r="I15">
        <v>1167.1240600000001</v>
      </c>
      <c r="J15">
        <v>1621.54781</v>
      </c>
      <c r="K15">
        <v>793.44263999999998</v>
      </c>
      <c r="L15">
        <v>815.93592000000001</v>
      </c>
      <c r="M15">
        <v>1400.6469999999999</v>
      </c>
      <c r="N15">
        <v>932.01310000000001</v>
      </c>
      <c r="P15">
        <v>999.25064999999995</v>
      </c>
      <c r="R15">
        <v>1247.16257</v>
      </c>
      <c r="S15">
        <v>502.52064999999999</v>
      </c>
      <c r="T15">
        <v>779.90623000000005</v>
      </c>
      <c r="U15">
        <v>669.10743000000002</v>
      </c>
      <c r="V15">
        <v>769.12075000000004</v>
      </c>
      <c r="W15">
        <v>652.67827999999997</v>
      </c>
      <c r="X15">
        <v>1670.15984</v>
      </c>
      <c r="Y15">
        <v>631.18128000000002</v>
      </c>
      <c r="Z15">
        <v>1187.2176400000001</v>
      </c>
      <c r="AA15">
        <v>530.12909000000002</v>
      </c>
      <c r="AB15">
        <v>684.72375</v>
      </c>
      <c r="AC15">
        <v>451.09509000000003</v>
      </c>
      <c r="AD15">
        <v>556.84567000000004</v>
      </c>
      <c r="AE15">
        <v>502.59442999999999</v>
      </c>
      <c r="AF15">
        <v>960.07078000000001</v>
      </c>
      <c r="AG15">
        <v>248.77038999999999</v>
      </c>
      <c r="AH15">
        <v>450.48770000000002</v>
      </c>
      <c r="AI15">
        <v>194.57676000000001</v>
      </c>
      <c r="AJ15">
        <v>1060.9426800000001</v>
      </c>
      <c r="AK15">
        <v>256.35998999999998</v>
      </c>
      <c r="AL15">
        <v>203.90385000000001</v>
      </c>
      <c r="AM15">
        <v>903.43836999999996</v>
      </c>
      <c r="AN15">
        <v>1006.24503</v>
      </c>
      <c r="AO15">
        <v>105.00304</v>
      </c>
      <c r="AP15">
        <v>1153.6960099999999</v>
      </c>
      <c r="AQ15">
        <v>174.34530000000001</v>
      </c>
      <c r="AT15">
        <v>108.56283000000001</v>
      </c>
      <c r="AU15">
        <v>1396.7615900000001</v>
      </c>
      <c r="AV15">
        <v>206.58447000000001</v>
      </c>
      <c r="AW15">
        <v>624.66471000000001</v>
      </c>
      <c r="AX15">
        <v>301.68074999999999</v>
      </c>
      <c r="AY15">
        <v>986.68422999999996</v>
      </c>
      <c r="AZ15">
        <v>1090.87581</v>
      </c>
      <c r="BA15">
        <v>892.34366999999997</v>
      </c>
      <c r="BB15">
        <v>808.76602000000003</v>
      </c>
    </row>
    <row r="16" spans="1:54" x14ac:dyDescent="0.2">
      <c r="A16" t="s">
        <v>39</v>
      </c>
      <c r="B16" t="s">
        <v>159</v>
      </c>
      <c r="C16" t="s">
        <v>9</v>
      </c>
      <c r="D16">
        <v>734.37003000000004</v>
      </c>
      <c r="E16">
        <v>108.45591</v>
      </c>
      <c r="F16">
        <v>61.264890000000001</v>
      </c>
      <c r="G16">
        <v>113.79606</v>
      </c>
      <c r="H16">
        <v>111.02631</v>
      </c>
      <c r="I16">
        <v>259.46312999999998</v>
      </c>
      <c r="J16">
        <v>210.50816</v>
      </c>
      <c r="K16">
        <v>102.74536000000001</v>
      </c>
      <c r="L16">
        <v>123.807</v>
      </c>
      <c r="M16">
        <v>119.79658999999999</v>
      </c>
      <c r="N16">
        <v>98.176329999999993</v>
      </c>
      <c r="P16">
        <v>114.20263</v>
      </c>
      <c r="R16">
        <v>301.61453</v>
      </c>
      <c r="S16">
        <v>370.55973999999998</v>
      </c>
      <c r="T16">
        <v>114.93546000000001</v>
      </c>
      <c r="U16">
        <v>138.83472</v>
      </c>
      <c r="V16">
        <v>72.685479999999998</v>
      </c>
      <c r="W16">
        <v>78.489620000000002</v>
      </c>
      <c r="X16">
        <v>364.36407000000003</v>
      </c>
      <c r="Y16">
        <v>224.99636000000001</v>
      </c>
      <c r="Z16">
        <v>166.45860999999999</v>
      </c>
      <c r="AA16">
        <v>439.96584000000001</v>
      </c>
      <c r="AB16">
        <v>164.88297</v>
      </c>
      <c r="AC16">
        <v>150.35704999999999</v>
      </c>
      <c r="AD16">
        <v>228.95936</v>
      </c>
      <c r="AE16">
        <v>49.813200000000002</v>
      </c>
      <c r="AF16">
        <v>907.43579999999997</v>
      </c>
      <c r="AG16">
        <v>489.59992</v>
      </c>
      <c r="AH16">
        <v>129.37879000000001</v>
      </c>
      <c r="AI16">
        <v>363.62358999999998</v>
      </c>
      <c r="AJ16">
        <v>46.087629999999997</v>
      </c>
      <c r="AK16">
        <v>214.25037</v>
      </c>
      <c r="AL16">
        <v>378.35167000000001</v>
      </c>
      <c r="AM16">
        <v>45.721359999999997</v>
      </c>
      <c r="AN16">
        <v>245.75390999999999</v>
      </c>
      <c r="AO16">
        <v>899.53590999999994</v>
      </c>
      <c r="AP16">
        <v>56.787080000000003</v>
      </c>
      <c r="AQ16">
        <v>436.96339999999998</v>
      </c>
      <c r="AT16">
        <v>635.03903000000003</v>
      </c>
      <c r="AU16">
        <v>147.84621000000001</v>
      </c>
      <c r="AV16">
        <v>178.75753</v>
      </c>
      <c r="AW16">
        <v>216.61177000000001</v>
      </c>
      <c r="AX16">
        <v>338.02859999999998</v>
      </c>
      <c r="AY16">
        <v>230.74435</v>
      </c>
      <c r="AZ16">
        <v>237.80271999999999</v>
      </c>
      <c r="BA16">
        <v>230.96724</v>
      </c>
      <c r="BB16">
        <v>311.84133000000003</v>
      </c>
    </row>
    <row r="17" spans="1:54" x14ac:dyDescent="0.2">
      <c r="A17" t="s">
        <v>39</v>
      </c>
      <c r="B17" t="s">
        <v>159</v>
      </c>
      <c r="C17" t="s">
        <v>10</v>
      </c>
      <c r="D17">
        <v>1984.9407100000001</v>
      </c>
      <c r="E17">
        <v>94.093540000000004</v>
      </c>
      <c r="F17">
        <v>106.5997</v>
      </c>
      <c r="G17">
        <v>223.31025</v>
      </c>
      <c r="H17">
        <v>103.90382</v>
      </c>
      <c r="I17">
        <v>226.40525</v>
      </c>
      <c r="J17">
        <v>851.86185</v>
      </c>
      <c r="K17">
        <v>386.87990000000002</v>
      </c>
      <c r="L17">
        <v>196.61383000000001</v>
      </c>
      <c r="M17">
        <v>496.72377999999998</v>
      </c>
      <c r="N17">
        <v>116.89238</v>
      </c>
      <c r="P17">
        <v>242.52099999999999</v>
      </c>
      <c r="R17">
        <v>164.10932</v>
      </c>
      <c r="S17">
        <v>162.12759</v>
      </c>
      <c r="T17">
        <v>150.31943999999999</v>
      </c>
      <c r="U17">
        <v>180.96399</v>
      </c>
      <c r="V17">
        <v>87.605890000000002</v>
      </c>
      <c r="W17">
        <v>66.573710000000005</v>
      </c>
      <c r="X17">
        <v>246.35757000000001</v>
      </c>
      <c r="Y17">
        <v>331.51656000000003</v>
      </c>
      <c r="Z17">
        <v>186.65172999999999</v>
      </c>
      <c r="AA17">
        <v>362.06157000000002</v>
      </c>
      <c r="AB17">
        <v>173.61578</v>
      </c>
      <c r="AC17">
        <v>44.250860000000003</v>
      </c>
      <c r="AD17">
        <v>101.32356</v>
      </c>
      <c r="AE17">
        <v>103.58564</v>
      </c>
      <c r="AF17">
        <v>866.04546000000005</v>
      </c>
      <c r="AG17">
        <v>100.94521</v>
      </c>
      <c r="AH17">
        <v>77.118679999999998</v>
      </c>
      <c r="AI17">
        <v>105.01663000000001</v>
      </c>
      <c r="AJ17">
        <v>155.03595000000001</v>
      </c>
      <c r="AK17">
        <v>142.53667999999999</v>
      </c>
      <c r="AL17">
        <v>85.2136</v>
      </c>
      <c r="AM17">
        <v>146.55513999999999</v>
      </c>
      <c r="AN17">
        <v>136.95231999999999</v>
      </c>
      <c r="AO17">
        <v>89.553550000000001</v>
      </c>
      <c r="AP17">
        <v>104.46073</v>
      </c>
      <c r="AQ17">
        <v>89.234459999999999</v>
      </c>
      <c r="AT17">
        <v>73.268129999999999</v>
      </c>
      <c r="AU17">
        <v>183.38987</v>
      </c>
      <c r="AV17">
        <v>57.864669999999997</v>
      </c>
      <c r="AW17">
        <v>218.07352</v>
      </c>
      <c r="AX17">
        <v>156.21943999999999</v>
      </c>
      <c r="AY17">
        <v>255.48136</v>
      </c>
      <c r="AZ17">
        <v>272.64909999999998</v>
      </c>
      <c r="BA17">
        <v>227.90523999999999</v>
      </c>
      <c r="BB17">
        <v>361.50236999999998</v>
      </c>
    </row>
    <row r="18" spans="1:54" x14ac:dyDescent="0.2">
      <c r="A18" t="s">
        <v>39</v>
      </c>
      <c r="B18" t="s">
        <v>159</v>
      </c>
      <c r="C18" t="s">
        <v>15</v>
      </c>
      <c r="D18">
        <v>3450.7994899999999</v>
      </c>
      <c r="E18">
        <v>542.90358000000003</v>
      </c>
      <c r="F18">
        <v>299.92680999999999</v>
      </c>
      <c r="G18">
        <v>706.74856999999997</v>
      </c>
      <c r="H18">
        <v>295.50013000000001</v>
      </c>
      <c r="I18">
        <v>414.51891999999998</v>
      </c>
      <c r="J18">
        <v>2507.2406299999998</v>
      </c>
      <c r="K18">
        <v>442.53980999999999</v>
      </c>
      <c r="L18">
        <v>396.50457</v>
      </c>
      <c r="M18">
        <v>1232.69334</v>
      </c>
      <c r="N18">
        <v>315.17129999999997</v>
      </c>
      <c r="P18">
        <v>812.06776000000002</v>
      </c>
      <c r="R18">
        <v>581.01197000000002</v>
      </c>
      <c r="S18">
        <v>1544.9641899999999</v>
      </c>
      <c r="T18">
        <v>401.29088000000002</v>
      </c>
      <c r="U18">
        <v>660.68421000000001</v>
      </c>
      <c r="V18">
        <v>219.96884</v>
      </c>
      <c r="W18">
        <v>107.34912</v>
      </c>
      <c r="X18">
        <v>1294.86697</v>
      </c>
      <c r="Y18">
        <v>369.03683000000001</v>
      </c>
      <c r="Z18">
        <v>623.18841999999995</v>
      </c>
      <c r="AA18">
        <v>1066.99065</v>
      </c>
      <c r="AB18">
        <v>393.10102000000001</v>
      </c>
      <c r="AC18">
        <v>325.21884999999997</v>
      </c>
      <c r="AD18">
        <v>228.26152999999999</v>
      </c>
      <c r="AE18">
        <v>194.80950999999999</v>
      </c>
      <c r="AF18">
        <v>5125.0283799999997</v>
      </c>
      <c r="AG18">
        <v>519.70712000000003</v>
      </c>
      <c r="AH18">
        <v>109.18378</v>
      </c>
      <c r="AI18">
        <v>509.36691000000002</v>
      </c>
      <c r="AJ18">
        <v>351.81911000000002</v>
      </c>
      <c r="AK18">
        <v>467.98432000000003</v>
      </c>
      <c r="AL18">
        <v>480.53868999999997</v>
      </c>
      <c r="AM18">
        <v>200.44701000000001</v>
      </c>
      <c r="AN18">
        <v>564.10091999999997</v>
      </c>
      <c r="AO18">
        <v>861.85122000000001</v>
      </c>
      <c r="AP18">
        <v>283.77641</v>
      </c>
      <c r="AQ18">
        <v>576.25780999999995</v>
      </c>
      <c r="AT18">
        <v>660.65174000000002</v>
      </c>
      <c r="AU18">
        <v>314.68937</v>
      </c>
      <c r="AV18">
        <v>272.07168999999999</v>
      </c>
      <c r="AW18">
        <v>547.16227000000003</v>
      </c>
      <c r="AX18">
        <v>717.90525000000002</v>
      </c>
      <c r="AY18">
        <v>685.17924000000005</v>
      </c>
      <c r="AZ18">
        <v>273.00326000000001</v>
      </c>
      <c r="BA18">
        <v>271.41570999999999</v>
      </c>
      <c r="BB18">
        <v>276.97287</v>
      </c>
    </row>
    <row r="19" spans="1:54" x14ac:dyDescent="0.2">
      <c r="A19" t="s">
        <v>39</v>
      </c>
      <c r="B19" t="s">
        <v>159</v>
      </c>
      <c r="C19" t="s">
        <v>11</v>
      </c>
      <c r="D19">
        <v>1527.4439299999999</v>
      </c>
      <c r="E19">
        <v>114.74156000000001</v>
      </c>
      <c r="F19">
        <v>80.410570000000007</v>
      </c>
      <c r="G19">
        <v>179.70983000000001</v>
      </c>
      <c r="H19">
        <v>126.01546999999999</v>
      </c>
      <c r="I19">
        <v>270.63780000000003</v>
      </c>
      <c r="J19">
        <v>793.97523000000001</v>
      </c>
      <c r="K19">
        <v>330.04782999999998</v>
      </c>
      <c r="L19">
        <v>164.23336</v>
      </c>
      <c r="M19">
        <v>233.74705</v>
      </c>
      <c r="N19">
        <v>206.20312000000001</v>
      </c>
      <c r="P19">
        <v>394.92759000000001</v>
      </c>
      <c r="R19">
        <v>158.22390999999999</v>
      </c>
      <c r="S19">
        <v>915.67957999999999</v>
      </c>
      <c r="T19">
        <v>229.33572000000001</v>
      </c>
      <c r="U19">
        <v>560.2654</v>
      </c>
      <c r="V19">
        <v>1009.00481</v>
      </c>
      <c r="W19">
        <v>545.96590000000003</v>
      </c>
      <c r="X19">
        <v>597.56437000000005</v>
      </c>
      <c r="Y19">
        <v>2859.3827999999999</v>
      </c>
      <c r="Z19">
        <v>861.12788</v>
      </c>
      <c r="AA19">
        <v>773.09767999999997</v>
      </c>
      <c r="AB19">
        <v>736.65994999999998</v>
      </c>
      <c r="AC19">
        <v>594.32721000000004</v>
      </c>
      <c r="AD19">
        <v>443.31247000000002</v>
      </c>
      <c r="AE19">
        <v>40.339129999999997</v>
      </c>
      <c r="AF19">
        <v>1408.9902300000001</v>
      </c>
      <c r="AG19">
        <v>83.898849999999996</v>
      </c>
      <c r="AH19">
        <v>102.38169000000001</v>
      </c>
      <c r="AI19">
        <v>201.55698000000001</v>
      </c>
      <c r="AJ19">
        <v>284.03113999999999</v>
      </c>
      <c r="AK19">
        <v>280.98973999999998</v>
      </c>
      <c r="AL19">
        <v>225.11227</v>
      </c>
      <c r="AM19">
        <v>387.17320999999998</v>
      </c>
      <c r="AN19">
        <v>431.57961</v>
      </c>
      <c r="AO19">
        <v>58.577910000000003</v>
      </c>
      <c r="AP19">
        <v>603.17328999999995</v>
      </c>
      <c r="AQ19">
        <v>79.657929999999993</v>
      </c>
      <c r="AT19">
        <v>165.36027999999999</v>
      </c>
      <c r="AU19">
        <v>102.00230999999999</v>
      </c>
      <c r="AV19">
        <v>101.86265</v>
      </c>
      <c r="AW19">
        <v>311.46255000000002</v>
      </c>
      <c r="AX19">
        <v>139.59841</v>
      </c>
      <c r="AY19">
        <v>159.23947000000001</v>
      </c>
      <c r="AZ19">
        <v>464.42304000000001</v>
      </c>
      <c r="BA19">
        <v>459.24318</v>
      </c>
      <c r="BB19">
        <v>541.33673999999996</v>
      </c>
    </row>
    <row r="20" spans="1:54" x14ac:dyDescent="0.2">
      <c r="A20" t="s">
        <v>38</v>
      </c>
      <c r="B20" t="s">
        <v>159</v>
      </c>
      <c r="C20" t="s">
        <v>17</v>
      </c>
      <c r="D20">
        <v>377.90708999999998</v>
      </c>
      <c r="E20">
        <v>117.6703</v>
      </c>
      <c r="F20">
        <v>76.726249999999993</v>
      </c>
      <c r="G20">
        <v>230.92635000000001</v>
      </c>
      <c r="H20">
        <v>65.516909999999996</v>
      </c>
      <c r="I20">
        <v>175.09711999999999</v>
      </c>
      <c r="J20">
        <v>320.48205000000002</v>
      </c>
      <c r="K20">
        <v>134.76579000000001</v>
      </c>
      <c r="L20">
        <v>169.39059</v>
      </c>
      <c r="M20">
        <v>188.30159</v>
      </c>
      <c r="N20">
        <v>108.79182</v>
      </c>
      <c r="P20">
        <v>88.360590000000002</v>
      </c>
      <c r="R20">
        <v>165.11815000000001</v>
      </c>
      <c r="S20">
        <v>84.106870000000001</v>
      </c>
      <c r="T20">
        <v>63.290219999999998</v>
      </c>
      <c r="U20">
        <v>98.164450000000002</v>
      </c>
      <c r="V20">
        <v>155.92241999999999</v>
      </c>
      <c r="W20">
        <v>94.811750000000004</v>
      </c>
      <c r="X20">
        <v>189.38199</v>
      </c>
      <c r="Y20">
        <v>363.76526999999999</v>
      </c>
      <c r="Z20">
        <v>159.78040999999999</v>
      </c>
      <c r="AA20">
        <v>250.53640999999999</v>
      </c>
      <c r="AB20">
        <v>312.11455000000001</v>
      </c>
      <c r="AC20">
        <v>269.32337000000001</v>
      </c>
      <c r="AD20">
        <v>187.06558000000001</v>
      </c>
      <c r="AE20">
        <v>103.72962</v>
      </c>
      <c r="AF20">
        <v>316.79617999999999</v>
      </c>
      <c r="AG20">
        <v>246.24217999999999</v>
      </c>
      <c r="AH20">
        <v>120.05059</v>
      </c>
      <c r="AI20">
        <v>334.60636</v>
      </c>
      <c r="AJ20">
        <v>77.534719999999993</v>
      </c>
      <c r="AK20">
        <v>125.35959</v>
      </c>
      <c r="AL20">
        <v>217.77959999999999</v>
      </c>
      <c r="AM20">
        <v>268.85455000000002</v>
      </c>
      <c r="AN20">
        <v>462.24336</v>
      </c>
      <c r="AO20">
        <v>142.00378000000001</v>
      </c>
      <c r="AP20">
        <v>149.54913999999999</v>
      </c>
      <c r="AQ20">
        <v>145.93446</v>
      </c>
      <c r="AT20">
        <v>131.16811999999999</v>
      </c>
      <c r="AU20">
        <v>91.594080000000005</v>
      </c>
      <c r="AV20">
        <v>137.70447999999999</v>
      </c>
      <c r="AW20">
        <v>93.394149999999996</v>
      </c>
      <c r="AX20">
        <v>72.327870000000004</v>
      </c>
      <c r="AY20">
        <v>150.64671000000001</v>
      </c>
      <c r="AZ20">
        <v>152.99144000000001</v>
      </c>
      <c r="BA20">
        <v>84.478729999999999</v>
      </c>
      <c r="BB20">
        <v>212.71048999999999</v>
      </c>
    </row>
    <row r="21" spans="1:54" x14ac:dyDescent="0.2">
      <c r="A21" t="s">
        <v>38</v>
      </c>
      <c r="B21" t="s">
        <v>159</v>
      </c>
      <c r="C21" t="s">
        <v>31</v>
      </c>
      <c r="D21">
        <v>1320.451</v>
      </c>
      <c r="E21">
        <v>524.84220000000005</v>
      </c>
      <c r="F21">
        <v>378.19170000000003</v>
      </c>
      <c r="G21">
        <v>794.31629999999996</v>
      </c>
      <c r="H21">
        <v>220.51220000000001</v>
      </c>
      <c r="I21">
        <v>216.87190000000001</v>
      </c>
      <c r="J21">
        <v>1525.1086</v>
      </c>
      <c r="K21">
        <v>256.68529999999998</v>
      </c>
      <c r="L21">
        <v>803.27250000000004</v>
      </c>
      <c r="M21">
        <v>1502.1148000000001</v>
      </c>
      <c r="N21">
        <v>595.45510000000002</v>
      </c>
      <c r="P21">
        <v>467.81139999999999</v>
      </c>
      <c r="R21">
        <v>702.43989999999997</v>
      </c>
      <c r="S21">
        <v>464.1189</v>
      </c>
      <c r="T21">
        <v>275.56659999999999</v>
      </c>
      <c r="U21">
        <v>759.57370000000003</v>
      </c>
      <c r="V21">
        <v>647.47329999999999</v>
      </c>
      <c r="W21">
        <v>448.42750000000001</v>
      </c>
      <c r="X21">
        <v>204.57130000000001</v>
      </c>
      <c r="Y21">
        <v>929.03480000000002</v>
      </c>
      <c r="Z21">
        <v>854.89769999999999</v>
      </c>
      <c r="AA21">
        <v>806.19010000000003</v>
      </c>
      <c r="AB21">
        <v>1770.9177999999999</v>
      </c>
      <c r="AC21">
        <v>1050.6228000000001</v>
      </c>
      <c r="AD21">
        <v>946.15160000000003</v>
      </c>
      <c r="AE21">
        <v>744.42190000000005</v>
      </c>
      <c r="AF21">
        <v>1131.3916999999999</v>
      </c>
      <c r="AG21">
        <v>546.63120000000004</v>
      </c>
      <c r="AH21">
        <v>492.59320000000002</v>
      </c>
      <c r="AI21">
        <v>1319.8828000000001</v>
      </c>
      <c r="AJ21">
        <v>1214.3142</v>
      </c>
      <c r="AK21">
        <v>312.10629999999998</v>
      </c>
      <c r="AL21">
        <v>431.15069999999997</v>
      </c>
      <c r="AM21">
        <v>2151.645</v>
      </c>
      <c r="AN21">
        <v>2708.3910999999998</v>
      </c>
      <c r="AO21">
        <v>1304.7501</v>
      </c>
      <c r="AP21">
        <v>833.85260000000005</v>
      </c>
      <c r="AQ21">
        <v>1007.1855</v>
      </c>
      <c r="AT21">
        <v>952.48320000000001</v>
      </c>
      <c r="AU21">
        <v>1950.7067</v>
      </c>
      <c r="AV21">
        <v>805.03390000000002</v>
      </c>
      <c r="AW21">
        <v>1783.404</v>
      </c>
      <c r="AX21">
        <v>1531.4486999999999</v>
      </c>
      <c r="AY21">
        <v>836.33669999999995</v>
      </c>
      <c r="AZ21">
        <v>1225.6201000000001</v>
      </c>
      <c r="BA21">
        <v>272.7482</v>
      </c>
      <c r="BB21">
        <v>1278.6396999999999</v>
      </c>
    </row>
    <row r="22" spans="1:54" x14ac:dyDescent="0.2">
      <c r="A22" t="s">
        <v>38</v>
      </c>
      <c r="B22" t="s">
        <v>159</v>
      </c>
      <c r="C22" t="s">
        <v>28</v>
      </c>
      <c r="D22">
        <v>27128.132000000001</v>
      </c>
      <c r="E22">
        <v>6844.4319999999998</v>
      </c>
      <c r="F22">
        <v>5822.1639999999998</v>
      </c>
      <c r="G22">
        <v>9788.2639999999992</v>
      </c>
      <c r="H22">
        <v>3169.4650000000001</v>
      </c>
      <c r="I22">
        <v>9679.3420000000006</v>
      </c>
      <c r="J22">
        <v>20318.887999999999</v>
      </c>
      <c r="K22">
        <v>11736.228999999999</v>
      </c>
      <c r="L22">
        <v>10778.985000000001</v>
      </c>
      <c r="M22">
        <v>17873.651999999998</v>
      </c>
      <c r="N22">
        <v>5139.9669999999996</v>
      </c>
      <c r="P22">
        <v>9046.7119999999995</v>
      </c>
      <c r="R22">
        <v>10611.92</v>
      </c>
      <c r="S22">
        <v>4700.8739999999998</v>
      </c>
      <c r="T22">
        <v>4734.4989999999998</v>
      </c>
      <c r="U22">
        <v>4904.634</v>
      </c>
      <c r="V22">
        <v>4499.2139999999999</v>
      </c>
      <c r="W22">
        <v>2329.4789999999998</v>
      </c>
      <c r="X22">
        <v>10726.446</v>
      </c>
      <c r="Y22">
        <v>15729.217000000001</v>
      </c>
      <c r="Z22">
        <v>7254.3019999999997</v>
      </c>
      <c r="AA22">
        <v>10279.308999999999</v>
      </c>
      <c r="AB22">
        <v>22405.207999999999</v>
      </c>
      <c r="AC22">
        <v>17179.954000000002</v>
      </c>
      <c r="AD22">
        <v>9949.8580000000002</v>
      </c>
      <c r="AE22">
        <v>8605.6970000000001</v>
      </c>
      <c r="AF22">
        <v>25953.234</v>
      </c>
      <c r="AG22">
        <v>29202.237000000001</v>
      </c>
      <c r="AH22">
        <v>13683.282999999999</v>
      </c>
      <c r="AI22">
        <v>24581.392</v>
      </c>
      <c r="AJ22">
        <v>16056.52</v>
      </c>
      <c r="AK22">
        <v>14711.732</v>
      </c>
      <c r="AL22">
        <v>14820.847</v>
      </c>
      <c r="AM22">
        <v>26149.222000000002</v>
      </c>
      <c r="AN22">
        <v>29611.319</v>
      </c>
      <c r="AO22">
        <v>18383.135999999999</v>
      </c>
      <c r="AP22">
        <v>12047.436</v>
      </c>
      <c r="AQ22">
        <v>12378.151</v>
      </c>
      <c r="AT22">
        <v>13716.118</v>
      </c>
      <c r="AU22">
        <v>21654.375</v>
      </c>
      <c r="AV22">
        <v>9078.9599999999991</v>
      </c>
      <c r="AW22">
        <v>20949.952000000001</v>
      </c>
      <c r="AX22">
        <v>28632.816999999999</v>
      </c>
      <c r="AY22">
        <v>13166.646000000001</v>
      </c>
      <c r="AZ22">
        <v>16984.813999999998</v>
      </c>
      <c r="BA22">
        <v>13856.361999999999</v>
      </c>
      <c r="BB22">
        <v>14446.442999999999</v>
      </c>
    </row>
    <row r="23" spans="1:54" x14ac:dyDescent="0.2">
      <c r="A23" t="s">
        <v>38</v>
      </c>
      <c r="B23" t="s">
        <v>159</v>
      </c>
      <c r="C23" t="s">
        <v>27</v>
      </c>
      <c r="D23">
        <v>484.37909999999999</v>
      </c>
      <c r="E23">
        <v>956.58061999999995</v>
      </c>
      <c r="F23">
        <v>307.62320999999997</v>
      </c>
      <c r="G23">
        <v>410.15179000000001</v>
      </c>
      <c r="H23">
        <v>370.72363999999999</v>
      </c>
      <c r="I23">
        <v>318.76130000000001</v>
      </c>
      <c r="J23">
        <v>2304.8943300000001</v>
      </c>
      <c r="K23">
        <v>420.80036000000001</v>
      </c>
      <c r="L23">
        <v>331.55565000000001</v>
      </c>
      <c r="M23">
        <v>1411.62463</v>
      </c>
      <c r="N23">
        <v>833.00931000000003</v>
      </c>
      <c r="P23">
        <v>334.52462000000003</v>
      </c>
      <c r="R23">
        <v>779.06742999999994</v>
      </c>
      <c r="S23">
        <v>385.10239999999999</v>
      </c>
      <c r="T23">
        <v>1318.09374</v>
      </c>
      <c r="U23">
        <v>817.93925000000002</v>
      </c>
      <c r="V23">
        <v>1836.06387</v>
      </c>
      <c r="W23">
        <v>497.96289000000002</v>
      </c>
      <c r="X23">
        <v>1069.3879899999999</v>
      </c>
      <c r="Y23">
        <v>519.65427999999997</v>
      </c>
      <c r="Z23">
        <v>2601.6987399999998</v>
      </c>
      <c r="AA23">
        <v>953.07660999999996</v>
      </c>
      <c r="AB23">
        <v>1053.49136</v>
      </c>
      <c r="AC23">
        <v>486.00292000000002</v>
      </c>
      <c r="AD23">
        <v>1365.7088799999999</v>
      </c>
      <c r="AE23">
        <v>1031.4084700000001</v>
      </c>
      <c r="AF23">
        <v>787.89400999999998</v>
      </c>
      <c r="AG23">
        <v>2211.8059499999999</v>
      </c>
      <c r="AH23">
        <v>370.03465</v>
      </c>
      <c r="AI23">
        <v>1190.54981</v>
      </c>
      <c r="AJ23">
        <v>1148.08619</v>
      </c>
      <c r="AK23">
        <v>479.12069000000002</v>
      </c>
      <c r="AL23">
        <v>1553.9061899999999</v>
      </c>
      <c r="AM23">
        <v>450.17021</v>
      </c>
      <c r="AN23">
        <v>945.46946000000003</v>
      </c>
      <c r="AO23">
        <v>1294.2614699999999</v>
      </c>
      <c r="AP23">
        <v>1326.3329799999999</v>
      </c>
      <c r="AQ23">
        <v>1214.12237</v>
      </c>
      <c r="AT23">
        <v>654.48805000000004</v>
      </c>
      <c r="AU23">
        <v>3327.81385</v>
      </c>
      <c r="AV23">
        <v>1873.0186000000001</v>
      </c>
      <c r="AW23">
        <v>522.35388999999998</v>
      </c>
      <c r="AX23">
        <v>271.35649000000001</v>
      </c>
      <c r="AY23">
        <v>1702.51836</v>
      </c>
      <c r="AZ23">
        <v>1386.73172</v>
      </c>
      <c r="BA23">
        <v>635.83401000000003</v>
      </c>
      <c r="BB23">
        <v>1837.47389</v>
      </c>
    </row>
    <row r="24" spans="1:54" x14ac:dyDescent="0.2">
      <c r="A24" t="s">
        <v>38</v>
      </c>
      <c r="B24" t="s">
        <v>159</v>
      </c>
      <c r="C24" t="s">
        <v>12</v>
      </c>
      <c r="D24">
        <v>6736.9189999999999</v>
      </c>
      <c r="E24">
        <v>357.66309999999999</v>
      </c>
      <c r="F24">
        <v>410.1968</v>
      </c>
      <c r="G24">
        <v>750.23929999999996</v>
      </c>
      <c r="H24">
        <v>846.40940000000001</v>
      </c>
      <c r="I24">
        <v>1347.4891</v>
      </c>
      <c r="J24">
        <v>2450.2449000000001</v>
      </c>
      <c r="K24">
        <v>491.09960000000001</v>
      </c>
      <c r="L24">
        <v>277.6413</v>
      </c>
      <c r="M24">
        <v>1244.0057999999999</v>
      </c>
      <c r="N24">
        <v>795.69629999999995</v>
      </c>
      <c r="P24">
        <v>746.81479999999999</v>
      </c>
      <c r="R24">
        <v>926.34950000000003</v>
      </c>
      <c r="S24">
        <v>973.62490000000003</v>
      </c>
      <c r="T24">
        <v>914.28340000000003</v>
      </c>
      <c r="U24">
        <v>735.92420000000004</v>
      </c>
      <c r="V24">
        <v>340.49040000000002</v>
      </c>
      <c r="W24">
        <v>444.42020000000002</v>
      </c>
      <c r="X24">
        <v>521.51779999999997</v>
      </c>
      <c r="Y24">
        <v>2082.5637999999999</v>
      </c>
      <c r="Z24">
        <v>458.71769999999998</v>
      </c>
      <c r="AA24">
        <v>3905.2105000000001</v>
      </c>
      <c r="AB24">
        <v>3588.8238999999999</v>
      </c>
      <c r="AC24">
        <v>3596.2422000000001</v>
      </c>
      <c r="AD24">
        <v>2327.0385000000001</v>
      </c>
      <c r="AE24">
        <v>322.91210000000001</v>
      </c>
      <c r="AF24">
        <v>10088.1083</v>
      </c>
      <c r="AG24">
        <v>13912.751</v>
      </c>
      <c r="AH24">
        <v>2502.7478999999998</v>
      </c>
      <c r="AI24">
        <v>8792.1398000000008</v>
      </c>
      <c r="AJ24">
        <v>2834.7919999999999</v>
      </c>
      <c r="AK24">
        <v>8780.8983000000007</v>
      </c>
      <c r="AL24">
        <v>7026.3936000000003</v>
      </c>
      <c r="AM24">
        <v>6443.5388000000003</v>
      </c>
      <c r="AN24">
        <v>7135.5398999999998</v>
      </c>
      <c r="AO24">
        <v>8337.0777999999991</v>
      </c>
      <c r="AP24">
        <v>510.61669999999998</v>
      </c>
      <c r="AQ24">
        <v>5655.5658999999996</v>
      </c>
      <c r="AT24">
        <v>6626.5716000000002</v>
      </c>
      <c r="AU24">
        <v>2193.3807999999999</v>
      </c>
      <c r="AV24">
        <v>3810.9549999999999</v>
      </c>
      <c r="AW24">
        <v>9090.8472000000002</v>
      </c>
      <c r="AX24">
        <v>13608.658100000001</v>
      </c>
      <c r="AY24">
        <v>5012.5501000000004</v>
      </c>
      <c r="AZ24">
        <v>4657.6661999999997</v>
      </c>
      <c r="BA24">
        <v>4871.8464999999997</v>
      </c>
      <c r="BB24">
        <v>5345.1935000000003</v>
      </c>
    </row>
    <row r="25" spans="1:54" x14ac:dyDescent="0.2">
      <c r="A25" t="s">
        <v>26</v>
      </c>
      <c r="C25" t="s">
        <v>24</v>
      </c>
      <c r="D25">
        <v>78.449910000000003</v>
      </c>
      <c r="E25">
        <v>140.55906999999999</v>
      </c>
      <c r="F25">
        <v>88.027360000000002</v>
      </c>
      <c r="G25">
        <v>71.96293</v>
      </c>
      <c r="H25">
        <v>76.724310000000003</v>
      </c>
      <c r="I25">
        <v>168.94515000000001</v>
      </c>
      <c r="J25">
        <v>173.37127000000001</v>
      </c>
      <c r="K25">
        <v>89.532899999999998</v>
      </c>
      <c r="L25">
        <v>58.969830000000002</v>
      </c>
      <c r="M25">
        <v>171.14662000000001</v>
      </c>
      <c r="N25">
        <v>109.84428</v>
      </c>
      <c r="P25">
        <v>97.035300000000007</v>
      </c>
      <c r="R25">
        <v>123.06868</v>
      </c>
      <c r="S25">
        <v>68.900149999999996</v>
      </c>
      <c r="T25">
        <v>76.145340000000004</v>
      </c>
      <c r="U25">
        <v>53.318460000000002</v>
      </c>
      <c r="V25">
        <v>213.11621</v>
      </c>
      <c r="W25">
        <v>152.79402999999999</v>
      </c>
      <c r="X25">
        <v>196.68059</v>
      </c>
      <c r="Y25">
        <v>95.715159999999997</v>
      </c>
      <c r="Z25">
        <v>194.06773999999999</v>
      </c>
      <c r="AA25">
        <v>54.728479999999998</v>
      </c>
      <c r="AB25">
        <v>291.43078000000003</v>
      </c>
      <c r="AC25">
        <v>329.89609999999999</v>
      </c>
      <c r="AD25">
        <v>68.520150000000001</v>
      </c>
      <c r="AE25">
        <v>70.094800000000006</v>
      </c>
      <c r="AF25">
        <v>121.32386</v>
      </c>
      <c r="AG25">
        <v>256.86113999999998</v>
      </c>
      <c r="AH25">
        <v>94.254720000000006</v>
      </c>
      <c r="AI25">
        <v>144.39388</v>
      </c>
      <c r="AJ25">
        <v>173.73375999999999</v>
      </c>
      <c r="AK25">
        <v>40.597560000000001</v>
      </c>
      <c r="AL25">
        <v>113.80551</v>
      </c>
      <c r="AM25">
        <v>129.29624000000001</v>
      </c>
      <c r="AN25">
        <v>196.52010000000001</v>
      </c>
      <c r="AO25">
        <v>171.37468999999999</v>
      </c>
      <c r="AP25">
        <v>249.99785</v>
      </c>
      <c r="AQ25">
        <v>255.197</v>
      </c>
      <c r="AT25">
        <v>55.020659999999999</v>
      </c>
      <c r="AU25">
        <v>252.93428</v>
      </c>
      <c r="AV25">
        <v>113.23781</v>
      </c>
      <c r="AW25">
        <v>87.219179999999994</v>
      </c>
      <c r="AX25">
        <v>161.18017</v>
      </c>
      <c r="AY25">
        <v>113.18572</v>
      </c>
      <c r="AZ25">
        <v>114.22448</v>
      </c>
      <c r="BA25">
        <v>111.45514</v>
      </c>
      <c r="BB25">
        <v>115.48283000000001</v>
      </c>
    </row>
    <row r="27" spans="1:54" x14ac:dyDescent="0.2">
      <c r="C27" t="s">
        <v>25</v>
      </c>
      <c r="D27">
        <v>16.7</v>
      </c>
      <c r="E27">
        <v>13.7</v>
      </c>
      <c r="F27">
        <v>15.6</v>
      </c>
      <c r="G27">
        <v>20</v>
      </c>
      <c r="H27">
        <v>22.8</v>
      </c>
      <c r="I27">
        <v>11.35</v>
      </c>
      <c r="J27">
        <v>10.3</v>
      </c>
      <c r="K27">
        <v>16.2</v>
      </c>
      <c r="L27">
        <v>20.7</v>
      </c>
      <c r="M27">
        <v>11.05</v>
      </c>
      <c r="N27">
        <v>16.100000000000001</v>
      </c>
      <c r="P27">
        <v>16.350000000000001</v>
      </c>
      <c r="R27">
        <v>13.7</v>
      </c>
      <c r="S27">
        <v>21.2</v>
      </c>
      <c r="T27">
        <v>20.6</v>
      </c>
      <c r="U27">
        <v>20.5</v>
      </c>
      <c r="V27">
        <v>9.1</v>
      </c>
      <c r="W27">
        <v>12.2</v>
      </c>
      <c r="X27">
        <v>10.050000000000001</v>
      </c>
      <c r="Y27">
        <v>16.399999999999999</v>
      </c>
      <c r="Z27">
        <v>10.8</v>
      </c>
      <c r="AA27">
        <v>21.7</v>
      </c>
      <c r="AB27">
        <v>9</v>
      </c>
      <c r="AC27">
        <v>8.8000000000000007</v>
      </c>
      <c r="AD27">
        <v>17.32</v>
      </c>
      <c r="AE27">
        <v>19.75</v>
      </c>
      <c r="AF27">
        <v>15</v>
      </c>
      <c r="AG27">
        <v>9.4</v>
      </c>
      <c r="AH27">
        <v>16.100000000000001</v>
      </c>
      <c r="AI27">
        <v>13</v>
      </c>
      <c r="AJ27">
        <v>12.55</v>
      </c>
      <c r="AK27">
        <v>26.35</v>
      </c>
      <c r="AL27">
        <v>16.100000000000001</v>
      </c>
      <c r="AM27">
        <v>13.4</v>
      </c>
      <c r="AN27">
        <v>8.5</v>
      </c>
      <c r="AO27">
        <v>11.45</v>
      </c>
      <c r="AP27">
        <v>9.5</v>
      </c>
      <c r="AQ27">
        <v>8.8000000000000007</v>
      </c>
      <c r="AT27">
        <v>19.399999999999999</v>
      </c>
      <c r="AU27">
        <v>7.6</v>
      </c>
      <c r="AV27">
        <v>14.35</v>
      </c>
      <c r="AW27">
        <v>15.1</v>
      </c>
      <c r="AX27">
        <v>15.35</v>
      </c>
      <c r="AY27">
        <v>16.254358974358979</v>
      </c>
      <c r="AZ27">
        <v>16.254358974358979</v>
      </c>
      <c r="BA27">
        <v>16.254358974358979</v>
      </c>
      <c r="BB27">
        <v>16.254358974358979</v>
      </c>
    </row>
    <row r="30" spans="1:54" x14ac:dyDescent="0.2">
      <c r="A30" s="1" t="s">
        <v>43</v>
      </c>
      <c r="B30" s="1"/>
      <c r="C30" s="1"/>
      <c r="D30" s="1"/>
    </row>
    <row r="31" spans="1:54" x14ac:dyDescent="0.2">
      <c r="A31" t="s">
        <v>140</v>
      </c>
    </row>
    <row r="32" spans="1:54" x14ac:dyDescent="0.2">
      <c r="A32" t="s">
        <v>33</v>
      </c>
    </row>
    <row r="34" spans="1:54" x14ac:dyDescent="0.2">
      <c r="D34" t="s">
        <v>46</v>
      </c>
      <c r="E34" t="s">
        <v>47</v>
      </c>
      <c r="F34" t="s">
        <v>48</v>
      </c>
      <c r="G34" t="s">
        <v>49</v>
      </c>
      <c r="H34" t="s">
        <v>50</v>
      </c>
      <c r="I34" t="s">
        <v>51</v>
      </c>
      <c r="J34" t="s">
        <v>52</v>
      </c>
      <c r="K34" t="s">
        <v>53</v>
      </c>
      <c r="L34" t="s">
        <v>54</v>
      </c>
      <c r="M34" t="s">
        <v>55</v>
      </c>
      <c r="N34" t="s">
        <v>56</v>
      </c>
      <c r="P34" t="s">
        <v>57</v>
      </c>
      <c r="R34" t="s">
        <v>58</v>
      </c>
      <c r="S34" t="s">
        <v>59</v>
      </c>
      <c r="T34" t="s">
        <v>60</v>
      </c>
      <c r="U34" t="s">
        <v>61</v>
      </c>
      <c r="V34" t="s">
        <v>62</v>
      </c>
      <c r="W34" t="s">
        <v>63</v>
      </c>
      <c r="X34" t="s">
        <v>64</v>
      </c>
      <c r="Y34" t="s">
        <v>65</v>
      </c>
      <c r="Z34" t="s">
        <v>66</v>
      </c>
      <c r="AA34" t="s">
        <v>67</v>
      </c>
      <c r="AB34" t="s">
        <v>68</v>
      </c>
      <c r="AC34" t="s">
        <v>69</v>
      </c>
      <c r="AD34" t="s">
        <v>70</v>
      </c>
      <c r="AE34" t="s">
        <v>71</v>
      </c>
      <c r="AF34" t="s">
        <v>72</v>
      </c>
      <c r="AG34" t="s">
        <v>73</v>
      </c>
      <c r="AH34" t="s">
        <v>74</v>
      </c>
      <c r="AI34" t="s">
        <v>75</v>
      </c>
      <c r="AJ34" t="s">
        <v>76</v>
      </c>
      <c r="AK34" t="s">
        <v>77</v>
      </c>
      <c r="AL34" t="s">
        <v>78</v>
      </c>
      <c r="AM34" t="s">
        <v>79</v>
      </c>
      <c r="AN34" t="s">
        <v>80</v>
      </c>
      <c r="AO34" t="s">
        <v>81</v>
      </c>
      <c r="AP34" t="s">
        <v>82</v>
      </c>
      <c r="AQ34" t="s">
        <v>83</v>
      </c>
      <c r="AT34" t="s">
        <v>84</v>
      </c>
      <c r="AU34" t="s">
        <v>85</v>
      </c>
      <c r="AV34" t="s">
        <v>86</v>
      </c>
      <c r="AW34" t="s">
        <v>87</v>
      </c>
      <c r="AX34" t="s">
        <v>88</v>
      </c>
      <c r="AY34" t="s">
        <v>20</v>
      </c>
      <c r="AZ34" t="s">
        <v>21</v>
      </c>
      <c r="BA34" t="s">
        <v>22</v>
      </c>
      <c r="BB34" t="s">
        <v>23</v>
      </c>
    </row>
    <row r="35" spans="1:54" x14ac:dyDescent="0.2">
      <c r="A35" t="s">
        <v>37</v>
      </c>
      <c r="B35" t="s">
        <v>158</v>
      </c>
      <c r="C35" t="s">
        <v>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  <c r="P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3</v>
      </c>
      <c r="AO35" t="s">
        <v>3</v>
      </c>
      <c r="AP35" t="s">
        <v>3</v>
      </c>
      <c r="AQ35" t="s">
        <v>3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2</v>
      </c>
      <c r="AZ35" t="s">
        <v>2</v>
      </c>
      <c r="BA35" t="s">
        <v>2</v>
      </c>
      <c r="BB35" t="s">
        <v>2</v>
      </c>
    </row>
    <row r="36" spans="1:54" x14ac:dyDescent="0.2">
      <c r="A36" t="s">
        <v>39</v>
      </c>
      <c r="B36" t="s">
        <v>160</v>
      </c>
      <c r="C36" t="s">
        <v>5</v>
      </c>
      <c r="D36">
        <v>4.8216350394793315</v>
      </c>
      <c r="E36">
        <v>0.96203508105168878</v>
      </c>
      <c r="F36">
        <v>2.0208748757204575</v>
      </c>
      <c r="G36">
        <v>2.9314154773853702</v>
      </c>
      <c r="H36">
        <v>1.621044283096192</v>
      </c>
      <c r="I36">
        <v>1.1401446226778336</v>
      </c>
      <c r="J36">
        <v>2.6542618641485407</v>
      </c>
      <c r="K36">
        <v>3.2960904550170937</v>
      </c>
      <c r="L36">
        <v>3.2384985457818001</v>
      </c>
      <c r="M36">
        <v>1.3005909663889359</v>
      </c>
      <c r="N36">
        <v>1.6534413790140008</v>
      </c>
      <c r="P36">
        <v>2.5090407480576653</v>
      </c>
      <c r="R36">
        <v>1.3157015944267867</v>
      </c>
      <c r="S36">
        <v>2.7121301840416896</v>
      </c>
      <c r="T36">
        <v>1.8783962984471534</v>
      </c>
      <c r="U36">
        <v>5.9364431380801319</v>
      </c>
      <c r="V36">
        <v>0.48302071954076137</v>
      </c>
      <c r="W36">
        <v>1.4193473063050959</v>
      </c>
      <c r="X36">
        <v>1.9598809994417852</v>
      </c>
      <c r="Y36">
        <v>1.7921805866489695</v>
      </c>
      <c r="Z36">
        <v>1.79843382418943</v>
      </c>
      <c r="AA36">
        <v>3.0657868078923447</v>
      </c>
      <c r="AB36">
        <v>0.18116138178678309</v>
      </c>
      <c r="AC36">
        <v>5.5276097838076903E-2</v>
      </c>
      <c r="AD36">
        <v>0.51788142612063748</v>
      </c>
      <c r="AE36">
        <v>1.1792069425977392</v>
      </c>
      <c r="AF36">
        <v>0.96843371534667633</v>
      </c>
      <c r="AG36">
        <v>1.275558653987131E-2</v>
      </c>
      <c r="AH36">
        <v>0.11040197880806395</v>
      </c>
      <c r="AI36">
        <v>4.4687338549251533E-2</v>
      </c>
      <c r="AJ36">
        <v>0.38035135773265943</v>
      </c>
      <c r="AK36">
        <v>0.26446812320740459</v>
      </c>
      <c r="AL36">
        <v>0.11370901198017566</v>
      </c>
      <c r="AM36">
        <v>0.30902050979982093</v>
      </c>
      <c r="AN36">
        <v>0.22934097682628898</v>
      </c>
      <c r="AO36">
        <v>1.1643616685754473E-2</v>
      </c>
      <c r="AP36">
        <v>0.56569734099713265</v>
      </c>
      <c r="AQ36">
        <v>2.5461463104973804E-2</v>
      </c>
      <c r="AT36">
        <v>9.0648810828514226E-2</v>
      </c>
      <c r="AU36">
        <v>0.22103303435184823</v>
      </c>
      <c r="AV36">
        <v>5.8098560012773116E-2</v>
      </c>
      <c r="AW36">
        <v>0.23624309928160298</v>
      </c>
      <c r="AX36">
        <v>3.7948996455333187E-2</v>
      </c>
      <c r="AY36">
        <v>1.8381610621905307</v>
      </c>
      <c r="AZ36">
        <v>1.3967528598072847</v>
      </c>
      <c r="BA36">
        <v>1.3815662893609033</v>
      </c>
      <c r="BB36">
        <v>1.3986801916787108</v>
      </c>
    </row>
    <row r="37" spans="1:54" x14ac:dyDescent="0.2">
      <c r="A37" t="s">
        <v>39</v>
      </c>
      <c r="B37" t="s">
        <v>160</v>
      </c>
      <c r="C37" t="s">
        <v>177</v>
      </c>
      <c r="D37">
        <v>0.67312826885333588</v>
      </c>
      <c r="E37">
        <v>6.586537261522861E-2</v>
      </c>
      <c r="F37">
        <v>0.19330732740366177</v>
      </c>
      <c r="G37">
        <v>0.19436370503535638</v>
      </c>
      <c r="H37">
        <v>0.12432330548166544</v>
      </c>
      <c r="I37">
        <v>9.3319301560299286E-2</v>
      </c>
      <c r="J37">
        <v>0.26019629405725636</v>
      </c>
      <c r="K37">
        <v>0.37103700114706439</v>
      </c>
      <c r="L37">
        <v>0.34129567628056584</v>
      </c>
      <c r="M37">
        <v>0.14793291804418923</v>
      </c>
      <c r="N37">
        <v>8.413893176777161E-2</v>
      </c>
      <c r="P37">
        <v>0.1934063418158134</v>
      </c>
      <c r="R37">
        <v>9.0020816669196424E-2</v>
      </c>
      <c r="S37">
        <v>0.27543038338813491</v>
      </c>
      <c r="T37">
        <v>0.15959411882591895</v>
      </c>
      <c r="U37">
        <v>0.3097315970866375</v>
      </c>
      <c r="V37">
        <v>2.2219727396616148E-2</v>
      </c>
      <c r="W37">
        <v>5.418789641192133E-2</v>
      </c>
      <c r="X37">
        <v>7.6769876529249798E-2</v>
      </c>
      <c r="Y37">
        <v>4.2154254247707468E-2</v>
      </c>
      <c r="Z37">
        <v>0.10062395537764288</v>
      </c>
      <c r="AA37">
        <v>0.1633650603853789</v>
      </c>
      <c r="AB37">
        <v>1.3146779931756006E-2</v>
      </c>
      <c r="AC37">
        <v>3.5065098981164073E-3</v>
      </c>
      <c r="AD37">
        <v>4.7742314632994817E-2</v>
      </c>
      <c r="AE37">
        <v>0.12128845278109074</v>
      </c>
      <c r="AF37">
        <v>0.11263630797767234</v>
      </c>
      <c r="AG37">
        <v>6.6795531624596859E-3</v>
      </c>
      <c r="AH37">
        <v>1.0622882334168516E-2</v>
      </c>
      <c r="AI37">
        <v>6.8372663024222355E-3</v>
      </c>
      <c r="AJ37">
        <v>3.3349788780257794E-2</v>
      </c>
      <c r="AK37">
        <v>3.8181512386458699E-2</v>
      </c>
      <c r="AL37">
        <v>2.8789139647104962E-2</v>
      </c>
      <c r="AM37">
        <v>9.9961240172181335E-3</v>
      </c>
      <c r="AN37">
        <v>3.0406749538596813E-2</v>
      </c>
      <c r="AO37">
        <v>8.3980914567956325E-3</v>
      </c>
      <c r="AP37">
        <v>1.437797069054794E-2</v>
      </c>
      <c r="AQ37">
        <v>1.5465519618177331E-2</v>
      </c>
      <c r="AT37">
        <v>3.0387635299176707E-2</v>
      </c>
      <c r="AU37">
        <v>2.7306529743615613E-2</v>
      </c>
      <c r="AV37">
        <v>1.3613123567119498E-2</v>
      </c>
      <c r="AW37">
        <v>1.4970575738042941E-2</v>
      </c>
      <c r="AX37">
        <v>8.2116398065593312E-3</v>
      </c>
      <c r="AY37">
        <v>9.895539720028286E-2</v>
      </c>
      <c r="AZ37">
        <v>9.7532434465886816E-2</v>
      </c>
      <c r="BA37">
        <v>0.23615886920962104</v>
      </c>
      <c r="BB37">
        <v>9.81281569736384E-2</v>
      </c>
    </row>
    <row r="38" spans="1:54" x14ac:dyDescent="0.2">
      <c r="A38" t="s">
        <v>39</v>
      </c>
      <c r="B38" t="s">
        <v>160</v>
      </c>
      <c r="C38" t="s">
        <v>7</v>
      </c>
      <c r="D38">
        <v>20.338351949670816</v>
      </c>
      <c r="E38">
        <v>5.8784727303616906</v>
      </c>
      <c r="F38">
        <v>10.64802102437242</v>
      </c>
      <c r="G38">
        <v>13.245547256066422</v>
      </c>
      <c r="H38">
        <v>8.9699993391924924</v>
      </c>
      <c r="I38">
        <v>6.5814522642407898</v>
      </c>
      <c r="J38">
        <v>13.991321976242084</v>
      </c>
      <c r="K38">
        <v>11.76311255415607</v>
      </c>
      <c r="L38">
        <v>15.933315561533751</v>
      </c>
      <c r="M38">
        <v>9.4547386913045681</v>
      </c>
      <c r="N38">
        <v>8.6552823688224816</v>
      </c>
      <c r="P38">
        <v>10.601298496526521</v>
      </c>
      <c r="R38">
        <v>9.2640525599202004</v>
      </c>
      <c r="S38">
        <v>9.6224466855297131</v>
      </c>
      <c r="T38">
        <v>11.107174647851069</v>
      </c>
      <c r="U38">
        <v>25.484265299485397</v>
      </c>
      <c r="V38">
        <v>2.6582803344710384</v>
      </c>
      <c r="W38">
        <v>7.2304059262001275</v>
      </c>
      <c r="X38">
        <v>6.7124852025306607</v>
      </c>
      <c r="Y38">
        <v>8.2322144161907058</v>
      </c>
      <c r="Z38">
        <v>7.9328930712543988</v>
      </c>
      <c r="AA38">
        <v>10.556086337497407</v>
      </c>
      <c r="AB38">
        <v>1.2136948266068532</v>
      </c>
      <c r="AC38">
        <v>0.60033349894103039</v>
      </c>
      <c r="AD38">
        <v>5.0988541326894357</v>
      </c>
      <c r="AE38">
        <v>13.913947111625967</v>
      </c>
      <c r="AF38">
        <v>9.1040519152621755</v>
      </c>
      <c r="AG38">
        <v>0.16117942169064581</v>
      </c>
      <c r="AH38">
        <v>1.9889852730982598</v>
      </c>
      <c r="AI38">
        <v>0.66868651219843944</v>
      </c>
      <c r="AJ38">
        <v>3.0530740254513575</v>
      </c>
      <c r="AK38">
        <v>4.0977356767253994</v>
      </c>
      <c r="AL38">
        <v>1.4341775718943663</v>
      </c>
      <c r="AM38">
        <v>3.5090691732412322</v>
      </c>
      <c r="AN38">
        <v>2.5532209173514566</v>
      </c>
      <c r="AO38">
        <v>0.18786087957329056</v>
      </c>
      <c r="AP38">
        <v>4.5121286043059969</v>
      </c>
      <c r="AQ38">
        <v>0.15559959560653144</v>
      </c>
      <c r="AT38">
        <v>0.68019431246371809</v>
      </c>
      <c r="AU38">
        <v>2.6262503050199442</v>
      </c>
      <c r="AV38">
        <v>0.32347896872961424</v>
      </c>
      <c r="AW38">
        <v>2.8686172009413529</v>
      </c>
      <c r="AX38">
        <v>0.43335330890890611</v>
      </c>
      <c r="AY38">
        <v>7.5635253281067607</v>
      </c>
      <c r="AZ38">
        <v>8.0017609185001319</v>
      </c>
      <c r="BA38">
        <v>7.8979151612029739</v>
      </c>
      <c r="BB38">
        <v>8.366182574500467</v>
      </c>
    </row>
    <row r="39" spans="1:54" x14ac:dyDescent="0.2">
      <c r="A39" t="s">
        <v>38</v>
      </c>
      <c r="B39" t="s">
        <v>160</v>
      </c>
      <c r="C39" t="s">
        <v>13</v>
      </c>
      <c r="D39">
        <v>1.4334120740227745</v>
      </c>
      <c r="E39">
        <v>0.50525926430788137</v>
      </c>
      <c r="F39">
        <v>0.70207883776135049</v>
      </c>
      <c r="G39">
        <v>1.3869670704069443</v>
      </c>
      <c r="H39">
        <v>0.60443988873930565</v>
      </c>
      <c r="I39">
        <v>0.83161859988286124</v>
      </c>
      <c r="J39">
        <v>1.0082968008482602</v>
      </c>
      <c r="K39">
        <v>1.4048240043604083</v>
      </c>
      <c r="L39">
        <v>2.1398940966931734</v>
      </c>
      <c r="M39">
        <v>0.76017589479710446</v>
      </c>
      <c r="N39">
        <v>0.85151798983069482</v>
      </c>
      <c r="P39">
        <v>0.82437130508175882</v>
      </c>
      <c r="R39">
        <v>0.75087463926646481</v>
      </c>
      <c r="S39">
        <v>0.62101810663692325</v>
      </c>
      <c r="T39">
        <v>0.61588152341298874</v>
      </c>
      <c r="U39">
        <v>1.6516285391588581</v>
      </c>
      <c r="V39">
        <v>0.52371028510689077</v>
      </c>
      <c r="W39">
        <v>0.75666331073275583</v>
      </c>
      <c r="X39">
        <v>0.60676302628541023</v>
      </c>
      <c r="Y39">
        <v>1.0628987299399595</v>
      </c>
      <c r="Z39">
        <v>0.59014887791242376</v>
      </c>
      <c r="AA39">
        <v>1.4180933857472382</v>
      </c>
      <c r="AB39">
        <v>0.1547983335871386</v>
      </c>
      <c r="AC39">
        <v>0.10197197935956201</v>
      </c>
      <c r="AD39">
        <v>0.78726536500576838</v>
      </c>
      <c r="AE39">
        <v>1.2150634383720331</v>
      </c>
      <c r="AF39">
        <v>0.53452079994817192</v>
      </c>
      <c r="AG39">
        <v>2.6764713416751167E-2</v>
      </c>
      <c r="AH39">
        <v>0.36153612678495045</v>
      </c>
      <c r="AI39">
        <v>9.9075318150603053E-2</v>
      </c>
      <c r="AJ39">
        <v>0.39929908786870216</v>
      </c>
      <c r="AK39">
        <v>0.50406785530953091</v>
      </c>
      <c r="AL39">
        <v>0.13900370992581995</v>
      </c>
      <c r="AM39">
        <v>0.59517671124852511</v>
      </c>
      <c r="AN39">
        <v>0.38658042612435056</v>
      </c>
      <c r="AO39">
        <v>3.9254627973360601E-2</v>
      </c>
      <c r="AP39">
        <v>0.19931450570474907</v>
      </c>
      <c r="AQ39">
        <v>3.7837341739910733E-2</v>
      </c>
      <c r="AT39">
        <v>0.20347689576969813</v>
      </c>
      <c r="AU39">
        <v>0.35808363856413611</v>
      </c>
      <c r="AV39">
        <v>0.16272004642265689</v>
      </c>
      <c r="AW39">
        <v>0.45829573724494999</v>
      </c>
      <c r="AX39">
        <v>0.12124927836966545</v>
      </c>
      <c r="AY39">
        <v>0.65246872220276553</v>
      </c>
      <c r="AZ39">
        <v>0.65738521024564966</v>
      </c>
      <c r="BA39">
        <v>0.6298266145464444</v>
      </c>
      <c r="BB39">
        <v>0.77157755486248469</v>
      </c>
    </row>
    <row r="40" spans="1:54" x14ac:dyDescent="0.2">
      <c r="A40" t="s">
        <v>38</v>
      </c>
      <c r="B40" t="s">
        <v>160</v>
      </c>
      <c r="C40" t="s">
        <v>8</v>
      </c>
      <c r="D40">
        <v>20.048737978157018</v>
      </c>
      <c r="E40">
        <v>0.45787952353412703</v>
      </c>
      <c r="F40">
        <v>5.9004760565351484</v>
      </c>
      <c r="G40">
        <v>4.076907791275314</v>
      </c>
      <c r="H40">
        <v>1.3848735817891356</v>
      </c>
      <c r="I40">
        <v>2.0162704877884923</v>
      </c>
      <c r="J40">
        <v>5.0431645912266765</v>
      </c>
      <c r="K40">
        <v>4.8939067091538417</v>
      </c>
      <c r="L40">
        <v>3.3226529566050975</v>
      </c>
      <c r="M40">
        <v>2.1819037968731139</v>
      </c>
      <c r="N40">
        <v>3.8384629586538326</v>
      </c>
      <c r="P40">
        <v>4.4733837067541389</v>
      </c>
      <c r="R40">
        <v>6.2265541484640936</v>
      </c>
      <c r="S40">
        <v>1.6721056485363242</v>
      </c>
      <c r="T40">
        <v>5.3350098640310746</v>
      </c>
      <c r="U40">
        <v>8.7576441630159607</v>
      </c>
      <c r="V40">
        <v>0.53224698393425818</v>
      </c>
      <c r="W40">
        <v>1.7843458936190111</v>
      </c>
      <c r="X40">
        <v>1.0122785375008281</v>
      </c>
      <c r="Y40">
        <v>3.1761600774631731</v>
      </c>
      <c r="Z40">
        <v>2.1059628972852469</v>
      </c>
      <c r="AA40">
        <v>12.749316991811209</v>
      </c>
      <c r="AB40">
        <v>1.5195568223781992</v>
      </c>
      <c r="AC40">
        <v>1.0854979188902205</v>
      </c>
      <c r="AD40">
        <v>1.2229012925394938</v>
      </c>
      <c r="AE40">
        <v>3.2461940115386594</v>
      </c>
      <c r="AF40">
        <v>14.913592346962915</v>
      </c>
      <c r="AG40">
        <v>1.339085779966561</v>
      </c>
      <c r="AH40">
        <v>1.8849084693053038</v>
      </c>
      <c r="AI40">
        <v>1.6490842271154431</v>
      </c>
      <c r="AJ40">
        <v>1.0493935087803314</v>
      </c>
      <c r="AK40">
        <v>4.6806160271701058</v>
      </c>
      <c r="AL40">
        <v>2.188631112852093</v>
      </c>
      <c r="AM40">
        <v>5.156389389204203</v>
      </c>
      <c r="AN40">
        <v>2.9073561432138497</v>
      </c>
      <c r="AO40">
        <v>0.47724836147041322</v>
      </c>
      <c r="AP40">
        <v>0.87998552787553985</v>
      </c>
      <c r="AQ40">
        <v>0.54252534316625978</v>
      </c>
      <c r="AT40">
        <v>1.2246656074281914</v>
      </c>
      <c r="AU40">
        <v>1.1782564229727974</v>
      </c>
      <c r="AV40">
        <v>0.97587616715653536</v>
      </c>
      <c r="AW40">
        <v>1.704474749705283</v>
      </c>
      <c r="AX40">
        <v>2.4435184551548743</v>
      </c>
      <c r="AY40">
        <v>3.6062597825944831</v>
      </c>
      <c r="AZ40">
        <v>3.59213637917196</v>
      </c>
      <c r="BA40">
        <v>3.7232843635564947</v>
      </c>
      <c r="BB40">
        <v>5.2815945885635118</v>
      </c>
    </row>
    <row r="41" spans="1:54" x14ac:dyDescent="0.2">
      <c r="A41" t="s">
        <v>38</v>
      </c>
      <c r="B41" t="s">
        <v>160</v>
      </c>
      <c r="C41" t="s">
        <v>14</v>
      </c>
      <c r="D41">
        <v>18.756020115255708</v>
      </c>
      <c r="E41">
        <v>5.8089275917946814</v>
      </c>
      <c r="F41">
        <v>8.435079388953616</v>
      </c>
      <c r="G41">
        <v>11.631869769616108</v>
      </c>
      <c r="H41">
        <v>5.1832831080527155</v>
      </c>
      <c r="I41">
        <v>6.9083016588519994</v>
      </c>
      <c r="J41">
        <v>9.3530364633079035</v>
      </c>
      <c r="K41">
        <v>8.8620232339173644</v>
      </c>
      <c r="L41">
        <v>13.836497748085756</v>
      </c>
      <c r="M41">
        <v>8.1839010317586158</v>
      </c>
      <c r="N41">
        <v>8.4848578369306082</v>
      </c>
      <c r="P41">
        <v>10.297805540870176</v>
      </c>
      <c r="R41">
        <v>10.133874597501167</v>
      </c>
      <c r="S41">
        <v>7.2934623509527929</v>
      </c>
      <c r="T41">
        <v>10.242336957192654</v>
      </c>
      <c r="U41">
        <v>12.549263988494793</v>
      </c>
      <c r="V41">
        <v>3.6089265570178828</v>
      </c>
      <c r="W41">
        <v>4.2716216072054651</v>
      </c>
      <c r="X41">
        <v>8.491736983298658</v>
      </c>
      <c r="Y41">
        <v>6.5943710484316176</v>
      </c>
      <c r="Z41">
        <v>6.117542462235094</v>
      </c>
      <c r="AA41">
        <v>9.6865304865035551</v>
      </c>
      <c r="AB41">
        <v>2.3495244737017824</v>
      </c>
      <c r="AC41">
        <v>1.3673853373834977</v>
      </c>
      <c r="AD41">
        <v>8.1267433010581573</v>
      </c>
      <c r="AE41">
        <v>7.1702099157141461</v>
      </c>
      <c r="AF41">
        <v>7.9132891090013127</v>
      </c>
      <c r="AG41">
        <v>0.96850146347555732</v>
      </c>
      <c r="AH41">
        <v>4.7794709909487825</v>
      </c>
      <c r="AI41">
        <v>1.3475415994085069</v>
      </c>
      <c r="AJ41">
        <v>6.1067157010819333</v>
      </c>
      <c r="AK41">
        <v>6.3146649700129762</v>
      </c>
      <c r="AL41">
        <v>1.7916869754373055</v>
      </c>
      <c r="AM41">
        <v>6.9873522230808875</v>
      </c>
      <c r="AN41">
        <v>5.1203160898045539</v>
      </c>
      <c r="AO41">
        <v>0.6127103132907199</v>
      </c>
      <c r="AP41">
        <v>4.6148237274840556</v>
      </c>
      <c r="AQ41">
        <v>0.68317926934877771</v>
      </c>
      <c r="AT41">
        <v>1.9731284575648493</v>
      </c>
      <c r="AU41">
        <v>5.52223126892883</v>
      </c>
      <c r="AV41">
        <v>1.8243417989097459</v>
      </c>
      <c r="AW41">
        <v>7.1620108100076161</v>
      </c>
      <c r="AX41">
        <v>1.8716989192901337</v>
      </c>
      <c r="AY41">
        <v>8.7173914695245998</v>
      </c>
      <c r="AZ41">
        <v>9.550280377726386</v>
      </c>
      <c r="BA41">
        <v>8.0063034329327465</v>
      </c>
      <c r="BB41">
        <v>7.0033443066817807</v>
      </c>
    </row>
    <row r="42" spans="1:54" x14ac:dyDescent="0.2">
      <c r="A42" t="s">
        <v>39</v>
      </c>
      <c r="B42" t="s">
        <v>159</v>
      </c>
      <c r="C42" t="s">
        <v>9</v>
      </c>
      <c r="D42">
        <v>9.3610053854746287</v>
      </c>
      <c r="E42">
        <v>0.77160378195444812</v>
      </c>
      <c r="F42">
        <v>0.69597554669366424</v>
      </c>
      <c r="G42">
        <v>1.5813149909265785</v>
      </c>
      <c r="H42">
        <v>1.4470812445234109</v>
      </c>
      <c r="I42">
        <v>1.535783240892088</v>
      </c>
      <c r="J42">
        <v>1.2142044065317166</v>
      </c>
      <c r="K42">
        <v>1.1475710046251155</v>
      </c>
      <c r="L42">
        <v>2.0994973192223889</v>
      </c>
      <c r="M42">
        <v>0.69996468525057631</v>
      </c>
      <c r="N42">
        <v>0.89377735463330443</v>
      </c>
      <c r="P42">
        <v>1.1769183997988359</v>
      </c>
      <c r="R42">
        <v>2.45078219738767</v>
      </c>
      <c r="S42">
        <v>5.3782138355286602</v>
      </c>
      <c r="T42">
        <v>1.5094221130275338</v>
      </c>
      <c r="U42">
        <v>2.6038771562419472</v>
      </c>
      <c r="V42">
        <v>0.34106030695647221</v>
      </c>
      <c r="W42">
        <v>0.51369559399670262</v>
      </c>
      <c r="X42">
        <v>1.8525675055174484</v>
      </c>
      <c r="Y42">
        <v>2.3506867668611742</v>
      </c>
      <c r="Z42">
        <v>0.85773457247453899</v>
      </c>
      <c r="AA42">
        <v>8.0390655834037421</v>
      </c>
      <c r="AB42">
        <v>0.5657706094050875</v>
      </c>
      <c r="AC42">
        <v>0.4557709230269773</v>
      </c>
      <c r="AD42">
        <v>3.3414894742641397</v>
      </c>
      <c r="AE42">
        <v>0.71065471333108876</v>
      </c>
      <c r="AF42">
        <v>7.4794504559943942</v>
      </c>
      <c r="AG42">
        <v>1.9060879352945332</v>
      </c>
      <c r="AH42">
        <v>1.3726505155391688</v>
      </c>
      <c r="AI42">
        <v>2.5182756360588137</v>
      </c>
      <c r="AJ42">
        <v>0.26527734160591471</v>
      </c>
      <c r="AK42">
        <v>5.277419874494921</v>
      </c>
      <c r="AL42">
        <v>3.3245461489518391</v>
      </c>
      <c r="AM42">
        <v>0.35361708894241622</v>
      </c>
      <c r="AN42">
        <v>1.2505281139181181</v>
      </c>
      <c r="AO42">
        <v>5.2489425947320454</v>
      </c>
      <c r="AP42">
        <v>0.22715027349235203</v>
      </c>
      <c r="AQ42">
        <v>1.7122591566515282</v>
      </c>
      <c r="AT42">
        <v>11.541828651273903</v>
      </c>
      <c r="AU42">
        <v>0.58452420921355541</v>
      </c>
      <c r="AV42">
        <v>1.5786028535875074</v>
      </c>
      <c r="AW42">
        <v>2.4835336677093274</v>
      </c>
      <c r="AX42">
        <v>2.0972096009081018</v>
      </c>
      <c r="AY42">
        <v>2.0386348207176663</v>
      </c>
      <c r="AZ42">
        <v>2.0818892762742278</v>
      </c>
      <c r="BA42">
        <v>2.0722888150335641</v>
      </c>
      <c r="BB42">
        <v>2.7003263602043694</v>
      </c>
    </row>
    <row r="43" spans="1:54" s="9" customFormat="1" x14ac:dyDescent="0.2">
      <c r="A43" s="9" t="s">
        <v>39</v>
      </c>
      <c r="B43" s="9" t="s">
        <v>159</v>
      </c>
      <c r="C43" s="9" t="s">
        <v>10</v>
      </c>
      <c r="D43" s="9">
        <v>25.302013858269561</v>
      </c>
      <c r="E43" s="9">
        <v>0.6694234673009718</v>
      </c>
      <c r="F43" s="9">
        <v>1.2109837214247932</v>
      </c>
      <c r="G43" s="9">
        <v>3.1031289304090315</v>
      </c>
      <c r="H43" s="9">
        <v>1.3542489987853914</v>
      </c>
      <c r="I43" s="9">
        <v>1.3401109768466271</v>
      </c>
      <c r="J43" s="9">
        <v>4.9135121984167265</v>
      </c>
      <c r="K43" s="9">
        <v>4.3210920231557344</v>
      </c>
      <c r="L43" s="9">
        <v>3.3341427302741078</v>
      </c>
      <c r="M43" s="9">
        <v>2.9023288920342099</v>
      </c>
      <c r="N43" s="9">
        <v>1.0641644699205095</v>
      </c>
      <c r="O43"/>
      <c r="P43" s="9">
        <v>2.4993069532427885</v>
      </c>
      <c r="R43" s="9">
        <v>1.3334775346578838</v>
      </c>
      <c r="S43" s="9">
        <v>2.3530803633954358</v>
      </c>
      <c r="T43" s="9">
        <v>1.9741121387073717</v>
      </c>
      <c r="U43" s="9">
        <v>3.3940213201956699</v>
      </c>
      <c r="V43" s="9">
        <v>0.41107098329122876</v>
      </c>
      <c r="W43" s="9">
        <v>0.43570884281277222</v>
      </c>
      <c r="X43" s="9">
        <v>1.2525769319687317</v>
      </c>
      <c r="Y43" s="9">
        <v>3.4635742133221115</v>
      </c>
      <c r="Z43" s="9">
        <v>0.96178648754295781</v>
      </c>
      <c r="AA43" s="9">
        <v>6.6155970346700661</v>
      </c>
      <c r="AB43" s="9">
        <v>0.59573590682494137</v>
      </c>
      <c r="AC43" s="9">
        <v>0.13413574758840741</v>
      </c>
      <c r="AD43" s="9">
        <v>1.4787410710572</v>
      </c>
      <c r="AE43" s="9">
        <v>1.4777935025137385</v>
      </c>
      <c r="AF43" s="9">
        <v>7.1382946437741106</v>
      </c>
      <c r="AG43" s="9">
        <v>0.39299525806044472</v>
      </c>
      <c r="AH43" s="9">
        <v>0.81819435673884555</v>
      </c>
      <c r="AI43" s="9">
        <v>0.72729280493051374</v>
      </c>
      <c r="AJ43" s="9">
        <v>0.89237664573655706</v>
      </c>
      <c r="AK43" s="9">
        <v>3.5109666689328125</v>
      </c>
      <c r="AL43" s="9">
        <v>0.74876515205634597</v>
      </c>
      <c r="AM43" s="9">
        <v>1.1334833866785297</v>
      </c>
      <c r="AN43" s="9">
        <v>0.69688708686795908</v>
      </c>
      <c r="AO43" s="9">
        <v>0.52255995328131599</v>
      </c>
      <c r="AP43" s="9">
        <v>0.41784651348001595</v>
      </c>
      <c r="AQ43" s="9">
        <v>0.34966892244031084</v>
      </c>
      <c r="AT43" s="9">
        <v>1.3316476029186126</v>
      </c>
      <c r="AU43" s="9">
        <v>0.7250494871632267</v>
      </c>
      <c r="AV43" s="9">
        <v>0.51100131660970838</v>
      </c>
      <c r="AW43" s="9">
        <v>2.5002931694611208</v>
      </c>
      <c r="AX43" s="9">
        <v>0.96922245459847822</v>
      </c>
      <c r="AY43" s="9">
        <v>2.2571872140761218</v>
      </c>
      <c r="AZ43" s="9">
        <v>2.3869585573950518</v>
      </c>
      <c r="BA43" s="9">
        <v>2.044815878388381</v>
      </c>
      <c r="BB43" s="9">
        <v>3.1303560018402727</v>
      </c>
    </row>
    <row r="44" spans="1:54" x14ac:dyDescent="0.2">
      <c r="A44" t="s">
        <v>39</v>
      </c>
      <c r="B44" t="s">
        <v>159</v>
      </c>
      <c r="C44" t="s">
        <v>15</v>
      </c>
      <c r="D44">
        <v>43.987296989888193</v>
      </c>
      <c r="E44">
        <v>3.8624585378944247</v>
      </c>
      <c r="F44">
        <v>3.4071998751297321</v>
      </c>
      <c r="G44">
        <v>9.8210088166226708</v>
      </c>
      <c r="H44">
        <v>3.8514537308970263</v>
      </c>
      <c r="I44">
        <v>2.4535709962671315</v>
      </c>
      <c r="J44">
        <v>14.461684626293614</v>
      </c>
      <c r="K44">
        <v>4.9427619344397424</v>
      </c>
      <c r="L44">
        <v>6.7238547236781923</v>
      </c>
      <c r="M44">
        <v>7.2025573160603464</v>
      </c>
      <c r="N44">
        <v>2.8692554587275731</v>
      </c>
      <c r="P44">
        <v>8.3687870290502531</v>
      </c>
      <c r="R44">
        <v>4.7210384478000416</v>
      </c>
      <c r="S44">
        <v>22.423234056819908</v>
      </c>
      <c r="T44">
        <v>5.2700648522943094</v>
      </c>
      <c r="U44">
        <v>12.391284556980828</v>
      </c>
      <c r="V44">
        <v>1.0321544287973214</v>
      </c>
      <c r="W44">
        <v>0.70257404690484304</v>
      </c>
      <c r="X44">
        <v>6.5836032421908035</v>
      </c>
      <c r="Y44">
        <v>3.8555734535678567</v>
      </c>
      <c r="Z44">
        <v>3.2111901751419376</v>
      </c>
      <c r="AA44">
        <v>19.496076814119451</v>
      </c>
      <c r="AB44">
        <v>1.3488658267325091</v>
      </c>
      <c r="AC44">
        <v>0.98582205124583167</v>
      </c>
      <c r="AD44">
        <v>3.3313051708147166</v>
      </c>
      <c r="AE44">
        <v>2.7792291296929301</v>
      </c>
      <c r="AF44">
        <v>42.242543057894792</v>
      </c>
      <c r="AG44">
        <v>2.0232999043763491</v>
      </c>
      <c r="AH44">
        <v>1.1583905824557115</v>
      </c>
      <c r="AI44">
        <v>3.5276211844989556</v>
      </c>
      <c r="AJ44">
        <v>2.0250474634291002</v>
      </c>
      <c r="AK44">
        <v>11.527400168877145</v>
      </c>
      <c r="AL44">
        <v>4.2224553978098252</v>
      </c>
      <c r="AM44">
        <v>1.5502926457876889</v>
      </c>
      <c r="AN44">
        <v>2.8704489769748744</v>
      </c>
      <c r="AO44">
        <v>5.0290461211045816</v>
      </c>
      <c r="AP44">
        <v>1.1351154019924572</v>
      </c>
      <c r="AQ44">
        <v>2.2580900637546679</v>
      </c>
      <c r="AT44">
        <v>12.007339424863316</v>
      </c>
      <c r="AU44">
        <v>1.244154687138493</v>
      </c>
      <c r="AV44">
        <v>2.4026576458870053</v>
      </c>
      <c r="AW44">
        <v>6.2734168103850552</v>
      </c>
      <c r="AX44">
        <v>4.4540544286558328</v>
      </c>
      <c r="AY44">
        <v>6.0535837913121906</v>
      </c>
      <c r="AZ44">
        <v>2.3900591186757865</v>
      </c>
      <c r="BA44">
        <v>2.4352013733956097</v>
      </c>
      <c r="BB44">
        <v>2.3983900463817864</v>
      </c>
    </row>
    <row r="45" spans="1:54" x14ac:dyDescent="0.2">
      <c r="A45" t="s">
        <v>39</v>
      </c>
      <c r="B45" t="s">
        <v>159</v>
      </c>
      <c r="C45" t="s">
        <v>178</v>
      </c>
      <c r="D45">
        <v>19.470308251468992</v>
      </c>
      <c r="E45">
        <v>0.81632270333035084</v>
      </c>
      <c r="F45">
        <v>0.91347247037739177</v>
      </c>
      <c r="G45">
        <v>2.4972556009045213</v>
      </c>
      <c r="H45">
        <v>1.6424451389657331</v>
      </c>
      <c r="I45">
        <v>1.6019270159575461</v>
      </c>
      <c r="J45">
        <v>4.5796240057536632</v>
      </c>
      <c r="K45">
        <v>3.6863301646657263</v>
      </c>
      <c r="L45">
        <v>2.7850404181256749</v>
      </c>
      <c r="M45">
        <v>1.3657707642721779</v>
      </c>
      <c r="N45">
        <v>1.8772312950660701</v>
      </c>
      <c r="P45">
        <v>4.0699373320843026</v>
      </c>
      <c r="R45">
        <v>1.2856553755187754</v>
      </c>
      <c r="S45">
        <v>13.289950457292184</v>
      </c>
      <c r="T45">
        <v>3.011815562186734</v>
      </c>
      <c r="U45">
        <v>10.507906642464917</v>
      </c>
      <c r="V45">
        <v>4.7345286874236363</v>
      </c>
      <c r="W45">
        <v>3.5732148697170962</v>
      </c>
      <c r="X45">
        <v>3.0382478006599434</v>
      </c>
      <c r="Y45">
        <v>29.873875778925719</v>
      </c>
      <c r="Z45">
        <v>4.4372541258016396</v>
      </c>
      <c r="AA45">
        <v>14.12605795008376</v>
      </c>
      <c r="AB45">
        <v>2.5277355741215803</v>
      </c>
      <c r="AC45">
        <v>1.8015587635015997</v>
      </c>
      <c r="AD45">
        <v>6.469811726915367</v>
      </c>
      <c r="AE45">
        <v>0.57549390254341259</v>
      </c>
      <c r="AF45">
        <v>11.613463584162259</v>
      </c>
      <c r="AG45">
        <v>0.32663115175771623</v>
      </c>
      <c r="AH45">
        <v>1.0862234803731845</v>
      </c>
      <c r="AI45">
        <v>1.3958831219162477</v>
      </c>
      <c r="AJ45">
        <v>1.6348644040168132</v>
      </c>
      <c r="AK45">
        <v>6.9213455192873656</v>
      </c>
      <c r="AL45">
        <v>1.9780436817162894</v>
      </c>
      <c r="AM45">
        <v>2.9944661190456889</v>
      </c>
      <c r="AN45">
        <v>2.1961092529466448</v>
      </c>
      <c r="AO45">
        <v>0.34181190933153555</v>
      </c>
      <c r="AP45">
        <v>2.4127139093396202</v>
      </c>
      <c r="AQ45">
        <v>0.31214289352931263</v>
      </c>
      <c r="AT45">
        <v>3.0054215998135967</v>
      </c>
      <c r="AU45">
        <v>0.40327594187707572</v>
      </c>
      <c r="AV45">
        <v>0.89954627345760219</v>
      </c>
      <c r="AW45">
        <v>3.5710327705442775</v>
      </c>
      <c r="AX45">
        <v>0.86610164265244294</v>
      </c>
      <c r="AY45">
        <v>1.4068865754443229</v>
      </c>
      <c r="AZ45">
        <v>4.0658800985568071</v>
      </c>
      <c r="BA45">
        <v>4.1204306952555081</v>
      </c>
      <c r="BB45">
        <v>4.6875950303607894</v>
      </c>
    </row>
    <row r="46" spans="1:54" s="9" customFormat="1" x14ac:dyDescent="0.2">
      <c r="A46" s="9" t="s">
        <v>38</v>
      </c>
      <c r="B46" s="9" t="s">
        <v>159</v>
      </c>
      <c r="C46" s="9" t="s">
        <v>17</v>
      </c>
      <c r="D46" s="9">
        <v>4.8171768457095734</v>
      </c>
      <c r="E46" s="9">
        <v>0.83715906771437809</v>
      </c>
      <c r="F46" s="9">
        <v>0.87161821052000177</v>
      </c>
      <c r="G46" s="9">
        <v>3.2089625867095743</v>
      </c>
      <c r="H46" s="9">
        <v>0.85392635007079232</v>
      </c>
      <c r="I46" s="9">
        <v>1.0364140077415656</v>
      </c>
      <c r="J46" s="9">
        <v>1.8485303245456988</v>
      </c>
      <c r="K46" s="9">
        <v>1.5052097050358026</v>
      </c>
      <c r="L46" s="9">
        <v>2.8724958169287578</v>
      </c>
      <c r="M46" s="9">
        <v>1.1002355173593261</v>
      </c>
      <c r="N46" s="9">
        <v>0.99041861806550158</v>
      </c>
      <c r="O46"/>
      <c r="P46" s="9">
        <v>0.91060253330488994</v>
      </c>
      <c r="R46" s="9">
        <v>1.3416748274215666</v>
      </c>
      <c r="S46" s="9">
        <v>1.2207066312627768</v>
      </c>
      <c r="T46" s="9">
        <v>0.83117653687014847</v>
      </c>
      <c r="U46" s="9">
        <v>1.8410968733905668</v>
      </c>
      <c r="V46" s="9">
        <v>0.7316309726041017</v>
      </c>
      <c r="W46" s="9">
        <v>0.62051999021165949</v>
      </c>
      <c r="X46" s="9">
        <v>0.96289110176047377</v>
      </c>
      <c r="Y46" s="9">
        <v>3.8004979566455299</v>
      </c>
      <c r="Z46" s="9">
        <v>0.82332287684702254</v>
      </c>
      <c r="AA46" s="9">
        <v>4.5778068384139301</v>
      </c>
      <c r="AB46" s="9">
        <v>1.0709731827228408</v>
      </c>
      <c r="AC46" s="9">
        <v>0.81638846291302025</v>
      </c>
      <c r="AD46" s="9">
        <v>2.7300812972534358</v>
      </c>
      <c r="AE46" s="9">
        <v>1.4798475778517093</v>
      </c>
      <c r="AF46" s="9">
        <v>2.6111613989202125</v>
      </c>
      <c r="AG46" s="9">
        <v>0.95865875235156239</v>
      </c>
      <c r="AH46" s="9">
        <v>1.2736825275169243</v>
      </c>
      <c r="AI46" s="9">
        <v>2.3173167727053254</v>
      </c>
      <c r="AJ46" s="9">
        <v>0.44628470597769831</v>
      </c>
      <c r="AK46" s="9">
        <v>3.0878602063769351</v>
      </c>
      <c r="AL46" s="9">
        <v>1.9136120913653478</v>
      </c>
      <c r="AM46" s="9">
        <v>2.079368665322364</v>
      </c>
      <c r="AN46" s="9">
        <v>2.3521429105725065</v>
      </c>
      <c r="AO46" s="9">
        <v>0.82861582419200885</v>
      </c>
      <c r="AP46" s="9">
        <v>0.59820170453465904</v>
      </c>
      <c r="AQ46" s="9">
        <v>0.57185021767497268</v>
      </c>
      <c r="AT46" s="9">
        <v>2.3839793997382071</v>
      </c>
      <c r="AU46" s="9">
        <v>0.36212600364015513</v>
      </c>
      <c r="AV46" s="9">
        <v>1.2160644929463047</v>
      </c>
      <c r="AW46" s="9">
        <v>1.0707983037675888</v>
      </c>
      <c r="AX46" s="9">
        <v>0.44873925868175973</v>
      </c>
      <c r="AY46" s="9">
        <v>1.3309692247396581</v>
      </c>
      <c r="AZ46" s="9">
        <v>1.3393927466336466</v>
      </c>
      <c r="BA46" s="9">
        <v>0.75796172343419965</v>
      </c>
      <c r="BB46" s="9">
        <v>1.8419230806865399</v>
      </c>
    </row>
    <row r="47" spans="1:54" x14ac:dyDescent="0.2">
      <c r="A47" t="s">
        <v>38</v>
      </c>
      <c r="B47" t="s">
        <v>159</v>
      </c>
      <c r="C47" t="s">
        <v>16</v>
      </c>
      <c r="D47">
        <v>16.831772018603971</v>
      </c>
      <c r="E47">
        <v>3.7339618140615194</v>
      </c>
      <c r="F47">
        <v>4.2962971966897561</v>
      </c>
      <c r="G47">
        <v>11.03785379500251</v>
      </c>
      <c r="H47">
        <v>2.8740851498045408</v>
      </c>
      <c r="I47">
        <v>1.2836823075418262</v>
      </c>
      <c r="J47">
        <v>8.7967781513049985</v>
      </c>
      <c r="K47">
        <v>2.8669382986589289</v>
      </c>
      <c r="L47">
        <v>13.621753700154807</v>
      </c>
      <c r="M47">
        <v>8.7767716359224615</v>
      </c>
      <c r="N47">
        <v>5.4209022081076963</v>
      </c>
      <c r="P47">
        <v>4.8210434759309235</v>
      </c>
      <c r="R47">
        <v>5.7077064611402344</v>
      </c>
      <c r="S47">
        <v>6.736108702230692</v>
      </c>
      <c r="T47">
        <v>3.6189555394985429</v>
      </c>
      <c r="U47">
        <v>14.245979722595139</v>
      </c>
      <c r="V47">
        <v>3.0381231910984154</v>
      </c>
      <c r="W47">
        <v>2.9348496142159481</v>
      </c>
      <c r="X47">
        <v>1.0401194139187806</v>
      </c>
      <c r="Y47">
        <v>9.7062450713136776</v>
      </c>
      <c r="Z47">
        <v>4.4051510055200316</v>
      </c>
      <c r="AA47">
        <v>14.730723382048982</v>
      </c>
      <c r="AB47">
        <v>6.0766326741464987</v>
      </c>
      <c r="AC47">
        <v>3.1847081550827676</v>
      </c>
      <c r="AD47">
        <v>13.808370238535671</v>
      </c>
      <c r="AE47">
        <v>10.620215764935487</v>
      </c>
      <c r="AF47">
        <v>9.3253849654964824</v>
      </c>
      <c r="AG47">
        <v>2.1281194967833597</v>
      </c>
      <c r="AH47">
        <v>5.2261913249543364</v>
      </c>
      <c r="AI47">
        <v>9.1408500138648545</v>
      </c>
      <c r="AJ47">
        <v>6.9895119981286316</v>
      </c>
      <c r="AK47">
        <v>7.6878093166190276</v>
      </c>
      <c r="AL47">
        <v>3.7884870424990846</v>
      </c>
      <c r="AM47">
        <v>16.641203178066121</v>
      </c>
      <c r="AN47">
        <v>13.781751077879566</v>
      </c>
      <c r="AO47">
        <v>7.6134352161337251</v>
      </c>
      <c r="AP47">
        <v>3.3354390847761297</v>
      </c>
      <c r="AQ47">
        <v>3.9466980411211736</v>
      </c>
      <c r="AT47">
        <v>17.31137358221439</v>
      </c>
      <c r="AU47">
        <v>7.7123065327483484</v>
      </c>
      <c r="AV47">
        <v>7.1092323314977568</v>
      </c>
      <c r="AW47">
        <v>20.447383247583847</v>
      </c>
      <c r="AX47">
        <v>9.5014709315668302</v>
      </c>
      <c r="AY47">
        <v>7.3890655110909744</v>
      </c>
      <c r="AZ47">
        <v>10.729924968798283</v>
      </c>
      <c r="BA47">
        <v>2.4471567663904961</v>
      </c>
      <c r="BB47">
        <v>11.072119552317861</v>
      </c>
    </row>
    <row r="48" spans="1:54" x14ac:dyDescent="0.2">
      <c r="A48" t="s">
        <v>38</v>
      </c>
      <c r="B48" t="s">
        <v>159</v>
      </c>
      <c r="C48" t="s">
        <v>18</v>
      </c>
      <c r="D48">
        <v>345.80195184417676</v>
      </c>
      <c r="E48">
        <v>48.694346085243737</v>
      </c>
      <c r="F48">
        <v>66.140390896648483</v>
      </c>
      <c r="G48">
        <v>136.0181415626073</v>
      </c>
      <c r="H48">
        <v>41.309788253553535</v>
      </c>
      <c r="I48">
        <v>57.292807754469415</v>
      </c>
      <c r="J48">
        <v>117.1987031069219</v>
      </c>
      <c r="K48">
        <v>131.08286451125787</v>
      </c>
      <c r="L48">
        <v>182.78813081197623</v>
      </c>
      <c r="M48">
        <v>104.43473555013823</v>
      </c>
      <c r="N48">
        <v>46.793214903862079</v>
      </c>
      <c r="P48">
        <v>93.231143717801643</v>
      </c>
      <c r="R48">
        <v>86.227625095190746</v>
      </c>
      <c r="S48">
        <v>68.22734057908437</v>
      </c>
      <c r="T48">
        <v>62.177133886328427</v>
      </c>
      <c r="U48">
        <v>91.987540525364011</v>
      </c>
      <c r="V48">
        <v>21.111552237157373</v>
      </c>
      <c r="W48">
        <v>15.245877080406871</v>
      </c>
      <c r="X48">
        <v>54.537389785133357</v>
      </c>
      <c r="Y48">
        <v>164.33360190799451</v>
      </c>
      <c r="Z48">
        <v>37.380257017472346</v>
      </c>
      <c r="AA48">
        <v>187.82376196086571</v>
      </c>
      <c r="AB48">
        <v>76.880033056220071</v>
      </c>
      <c r="AC48">
        <v>52.076862988074133</v>
      </c>
      <c r="AD48">
        <v>145.21068619960698</v>
      </c>
      <c r="AE48">
        <v>122.772259853798</v>
      </c>
      <c r="AF48">
        <v>213.91698219954426</v>
      </c>
      <c r="AG48">
        <v>113.68880866915097</v>
      </c>
      <c r="AH48">
        <v>145.17345126058407</v>
      </c>
      <c r="AI48">
        <v>170.23846163009125</v>
      </c>
      <c r="AJ48">
        <v>92.420264201960521</v>
      </c>
      <c r="AK48">
        <v>362.37970951948836</v>
      </c>
      <c r="AL48">
        <v>130.22960839066582</v>
      </c>
      <c r="AM48">
        <v>202.24271022885122</v>
      </c>
      <c r="AN48">
        <v>150.67832247184893</v>
      </c>
      <c r="AO48">
        <v>107.26867543859598</v>
      </c>
      <c r="AP48">
        <v>48.190158435362541</v>
      </c>
      <c r="AQ48">
        <v>48.504296680603609</v>
      </c>
      <c r="AT48">
        <v>249.29032112664589</v>
      </c>
      <c r="AU48">
        <v>85.612654006408306</v>
      </c>
      <c r="AV48">
        <v>80.176047205434287</v>
      </c>
      <c r="AW48">
        <v>240.19891037728175</v>
      </c>
      <c r="AX48">
        <v>177.64478719683692</v>
      </c>
      <c r="AY48">
        <v>116.32780177570103</v>
      </c>
      <c r="AZ48">
        <v>148.69679424235505</v>
      </c>
      <c r="BA48">
        <v>124.32232376182918</v>
      </c>
      <c r="BB48">
        <v>125.09602509741057</v>
      </c>
    </row>
    <row r="49" spans="1:54" x14ac:dyDescent="0.2">
      <c r="A49" t="s">
        <v>38</v>
      </c>
      <c r="B49" t="s">
        <v>159</v>
      </c>
      <c r="C49" t="s">
        <v>19</v>
      </c>
      <c r="D49">
        <v>6.1743741962227867</v>
      </c>
      <c r="E49">
        <v>6.805541755505355</v>
      </c>
      <c r="F49">
        <v>3.4946317826639346</v>
      </c>
      <c r="G49">
        <v>5.6994870831412792</v>
      </c>
      <c r="H49">
        <v>4.8318927860022454</v>
      </c>
      <c r="I49">
        <v>1.8867739026542043</v>
      </c>
      <c r="J49">
        <v>13.294557570005686</v>
      </c>
      <c r="K49">
        <v>4.6999523080342538</v>
      </c>
      <c r="L49">
        <v>5.6224623676208667</v>
      </c>
      <c r="M49">
        <v>8.2480427016320856</v>
      </c>
      <c r="N49">
        <v>7.5835474546330497</v>
      </c>
      <c r="P49">
        <v>3.4474528341747797</v>
      </c>
      <c r="R49">
        <v>6.3303468437298589</v>
      </c>
      <c r="S49">
        <v>5.5892824616492129</v>
      </c>
      <c r="T49">
        <v>17.310235137173198</v>
      </c>
      <c r="U49">
        <v>15.340639058217359</v>
      </c>
      <c r="V49">
        <v>8.6153177648945611</v>
      </c>
      <c r="W49">
        <v>3.2590467703482919</v>
      </c>
      <c r="X49">
        <v>5.4371811168555064</v>
      </c>
      <c r="Y49">
        <v>5.4291742290354001</v>
      </c>
      <c r="Z49">
        <v>13.406137156026034</v>
      </c>
      <c r="AA49">
        <v>17.414636949537062</v>
      </c>
      <c r="AB49">
        <v>3.6148939381077043</v>
      </c>
      <c r="AC49">
        <v>1.4731999559861424</v>
      </c>
      <c r="AD49">
        <v>19.931492852832342</v>
      </c>
      <c r="AE49">
        <v>14.714479105440063</v>
      </c>
      <c r="AF49">
        <v>6.4941389929400533</v>
      </c>
      <c r="AG49">
        <v>8.6109013998769921</v>
      </c>
      <c r="AH49">
        <v>3.9259004747985036</v>
      </c>
      <c r="AI49">
        <v>8.2451542267580873</v>
      </c>
      <c r="AJ49">
        <v>6.6083079650149754</v>
      </c>
      <c r="AK49">
        <v>11.801711482167896</v>
      </c>
      <c r="AL49">
        <v>13.654050581557957</v>
      </c>
      <c r="AM49">
        <v>3.481696064788891</v>
      </c>
      <c r="AN49">
        <v>4.8110572913406822</v>
      </c>
      <c r="AO49">
        <v>7.5522323045485891</v>
      </c>
      <c r="AP49">
        <v>5.3053775462468975</v>
      </c>
      <c r="AQ49">
        <v>4.7575887255727931</v>
      </c>
      <c r="AT49">
        <v>11.895314414621707</v>
      </c>
      <c r="AU49">
        <v>13.156832083021724</v>
      </c>
      <c r="AV49">
        <v>16.540575978995005</v>
      </c>
      <c r="AW49">
        <v>5.9889796028809261</v>
      </c>
      <c r="AX49">
        <v>1.6835600185804496</v>
      </c>
      <c r="AY49">
        <v>15.041812341698229</v>
      </c>
      <c r="AZ49">
        <v>12.140407380274352</v>
      </c>
      <c r="BA49">
        <v>5.7048424146252934</v>
      </c>
      <c r="BB49">
        <v>15.911230180278746</v>
      </c>
    </row>
    <row r="50" spans="1:54" x14ac:dyDescent="0.2">
      <c r="A50" t="s">
        <v>38</v>
      </c>
      <c r="B50" t="s">
        <v>159</v>
      </c>
      <c r="C50" t="s">
        <v>12</v>
      </c>
      <c r="D50">
        <v>85.875420379704707</v>
      </c>
      <c r="E50">
        <v>2.5445750316930815</v>
      </c>
      <c r="F50">
        <v>4.6598784741471286</v>
      </c>
      <c r="G50">
        <v>10.425357889124303</v>
      </c>
      <c r="H50">
        <v>11.031828112888862</v>
      </c>
      <c r="I50">
        <v>7.9758969109204951</v>
      </c>
      <c r="J50">
        <v>14.132935058963344</v>
      </c>
      <c r="K50">
        <v>5.4851300471670195</v>
      </c>
      <c r="L50">
        <v>4.7081923078292744</v>
      </c>
      <c r="M50">
        <v>7.2686553786455139</v>
      </c>
      <c r="N50">
        <v>7.2438573952143894</v>
      </c>
      <c r="P50">
        <v>7.6963208234529077</v>
      </c>
      <c r="R50">
        <v>7.527093814608234</v>
      </c>
      <c r="S50">
        <v>14.130954722159533</v>
      </c>
      <c r="T50">
        <v>12.007082770922027</v>
      </c>
      <c r="U50">
        <v>13.802427902081194</v>
      </c>
      <c r="V50">
        <v>1.5976748085000199</v>
      </c>
      <c r="W50">
        <v>2.9086228041763151</v>
      </c>
      <c r="X50">
        <v>2.6515976996001482</v>
      </c>
      <c r="Y50">
        <v>21.757930509649672</v>
      </c>
      <c r="Z50">
        <v>2.363698881637927</v>
      </c>
      <c r="AA50">
        <v>71.356092842337304</v>
      </c>
      <c r="AB50">
        <v>12.314498489143803</v>
      </c>
      <c r="AC50">
        <v>10.901135842466765</v>
      </c>
      <c r="AD50">
        <v>33.961374865641709</v>
      </c>
      <c r="AE50">
        <v>4.6067910886399561</v>
      </c>
      <c r="AF50">
        <v>83.150241840310727</v>
      </c>
      <c r="AG50">
        <v>54.164483580505802</v>
      </c>
      <c r="AH50">
        <v>26.553024612454418</v>
      </c>
      <c r="AI50">
        <v>60.889975392308884</v>
      </c>
      <c r="AJ50">
        <v>16.3168747398318</v>
      </c>
      <c r="AK50">
        <v>216.29128203763972</v>
      </c>
      <c r="AL50">
        <v>61.74036388923524</v>
      </c>
      <c r="AM50">
        <v>49.835469306764068</v>
      </c>
      <c r="AN50">
        <v>36.30946605461731</v>
      </c>
      <c r="AO50">
        <v>48.648244381944615</v>
      </c>
      <c r="AP50">
        <v>2.0424843653655422</v>
      </c>
      <c r="AQ50">
        <v>22.161568905590585</v>
      </c>
      <c r="AT50">
        <v>120.43787915303088</v>
      </c>
      <c r="AU50">
        <v>8.6717419244240048</v>
      </c>
      <c r="AV50">
        <v>33.654439272536266</v>
      </c>
      <c r="AW50">
        <v>104.22990906357983</v>
      </c>
      <c r="AX50">
        <v>84.431342267476211</v>
      </c>
      <c r="AY50">
        <v>44.286064531815505</v>
      </c>
      <c r="AZ50">
        <v>40.776427259725757</v>
      </c>
      <c r="BA50">
        <v>43.711277021409686</v>
      </c>
      <c r="BB50">
        <v>46.285612328689894</v>
      </c>
    </row>
    <row r="52" spans="1:54" x14ac:dyDescent="0.2">
      <c r="B52" s="4" t="s">
        <v>164</v>
      </c>
      <c r="D52">
        <f>SUM(D36:D41)</f>
        <v>66.071285425438987</v>
      </c>
      <c r="E52">
        <f t="shared" ref="E52:AX52" si="0">SUM(E36:E41)</f>
        <v>13.678439563665297</v>
      </c>
      <c r="F52">
        <f t="shared" si="0"/>
        <v>27.899837510746657</v>
      </c>
      <c r="G52">
        <f t="shared" si="0"/>
        <v>33.467071069785511</v>
      </c>
      <c r="H52">
        <f t="shared" si="0"/>
        <v>17.887963506351507</v>
      </c>
      <c r="I52">
        <f t="shared" si="0"/>
        <v>17.571106935002277</v>
      </c>
      <c r="J52">
        <f t="shared" si="0"/>
        <v>32.310277989830723</v>
      </c>
      <c r="K52">
        <f t="shared" si="0"/>
        <v>30.590993957751841</v>
      </c>
      <c r="L52">
        <f t="shared" si="0"/>
        <v>38.812154584980142</v>
      </c>
      <c r="M52">
        <f t="shared" si="0"/>
        <v>22.029243299166527</v>
      </c>
      <c r="N52">
        <f t="shared" si="0"/>
        <v>23.56770146501939</v>
      </c>
      <c r="P52">
        <f t="shared" si="0"/>
        <v>28.899306139106073</v>
      </c>
      <c r="R52">
        <f t="shared" si="0"/>
        <v>27.78107835624791</v>
      </c>
      <c r="S52">
        <f t="shared" si="0"/>
        <v>22.196593359085576</v>
      </c>
      <c r="T52">
        <f t="shared" si="0"/>
        <v>29.338393409760862</v>
      </c>
      <c r="U52">
        <f t="shared" si="0"/>
        <v>54.68897672532178</v>
      </c>
      <c r="V52">
        <f t="shared" si="0"/>
        <v>7.8284046074674478</v>
      </c>
      <c r="W52">
        <f t="shared" si="0"/>
        <v>15.516571940474378</v>
      </c>
      <c r="X52">
        <f t="shared" si="0"/>
        <v>18.85991462558659</v>
      </c>
      <c r="Y52">
        <f t="shared" si="0"/>
        <v>20.899979112922132</v>
      </c>
      <c r="Z52">
        <f t="shared" si="0"/>
        <v>18.645605088254236</v>
      </c>
      <c r="AA52">
        <f t="shared" si="0"/>
        <v>37.639179069837134</v>
      </c>
      <c r="AB52">
        <f t="shared" si="0"/>
        <v>5.4318826179925122</v>
      </c>
      <c r="AC52">
        <f t="shared" si="0"/>
        <v>3.2139713423105039</v>
      </c>
      <c r="AD52">
        <f t="shared" si="0"/>
        <v>15.801387832046487</v>
      </c>
      <c r="AE52">
        <f t="shared" si="0"/>
        <v>26.845909872629637</v>
      </c>
      <c r="AF52">
        <f t="shared" si="0"/>
        <v>33.546524194498922</v>
      </c>
      <c r="AG52">
        <f t="shared" si="0"/>
        <v>2.5149665182518461</v>
      </c>
      <c r="AH52">
        <f t="shared" si="0"/>
        <v>9.1359257212795288</v>
      </c>
      <c r="AI52">
        <f t="shared" si="0"/>
        <v>3.8159122617246664</v>
      </c>
      <c r="AJ52">
        <f t="shared" si="0"/>
        <v>11.022183469695243</v>
      </c>
      <c r="AK52">
        <f t="shared" si="0"/>
        <v>15.899734164811875</v>
      </c>
      <c r="AL52">
        <f t="shared" si="0"/>
        <v>5.6959975217368655</v>
      </c>
      <c r="AM52">
        <f t="shared" si="0"/>
        <v>16.567004130591886</v>
      </c>
      <c r="AN52">
        <f t="shared" si="0"/>
        <v>11.227221302859096</v>
      </c>
      <c r="AO52">
        <f t="shared" si="0"/>
        <v>1.3371158904503344</v>
      </c>
      <c r="AP52">
        <f t="shared" si="0"/>
        <v>10.786327677058022</v>
      </c>
      <c r="AQ52">
        <f t="shared" si="0"/>
        <v>1.4600685325846308</v>
      </c>
      <c r="AT52">
        <f t="shared" si="0"/>
        <v>4.2025017193541476</v>
      </c>
      <c r="AU52">
        <f t="shared" si="0"/>
        <v>9.9331611995811713</v>
      </c>
      <c r="AV52">
        <f t="shared" si="0"/>
        <v>3.358128664798445</v>
      </c>
      <c r="AW52">
        <f t="shared" si="0"/>
        <v>12.444612172918848</v>
      </c>
      <c r="AX52">
        <f t="shared" si="0"/>
        <v>4.915980597985472</v>
      </c>
    </row>
    <row r="53" spans="1:54" x14ac:dyDescent="0.2">
      <c r="B53" s="4" t="s">
        <v>165</v>
      </c>
      <c r="D53">
        <f>SUM(D42:D50)</f>
        <v>557.62131976951923</v>
      </c>
      <c r="E53">
        <f t="shared" ref="E53:AX53" si="1">SUM(E42:E50)</f>
        <v>68.735392244698275</v>
      </c>
      <c r="F53">
        <f t="shared" si="1"/>
        <v>85.690448174294886</v>
      </c>
      <c r="G53">
        <f t="shared" si="1"/>
        <v>183.3925112554478</v>
      </c>
      <c r="H53">
        <f t="shared" si="1"/>
        <v>69.196749765491532</v>
      </c>
      <c r="I53">
        <f t="shared" si="1"/>
        <v>76.406967113290889</v>
      </c>
      <c r="J53">
        <f t="shared" si="1"/>
        <v>180.44052944873735</v>
      </c>
      <c r="K53">
        <f t="shared" si="1"/>
        <v>159.7378499970402</v>
      </c>
      <c r="L53">
        <f t="shared" si="1"/>
        <v>224.5555701958103</v>
      </c>
      <c r="M53">
        <f t="shared" si="1"/>
        <v>141.99906244131492</v>
      </c>
      <c r="N53">
        <f t="shared" si="1"/>
        <v>74.736369158230175</v>
      </c>
      <c r="P53">
        <f t="shared" si="1"/>
        <v>126.22151309884133</v>
      </c>
      <c r="R53">
        <f t="shared" si="1"/>
        <v>116.92540059745501</v>
      </c>
      <c r="S53">
        <f t="shared" si="1"/>
        <v>139.3488718094228</v>
      </c>
      <c r="T53">
        <f t="shared" si="1"/>
        <v>107.70999853700829</v>
      </c>
      <c r="U53">
        <f t="shared" si="1"/>
        <v>166.11477375753165</v>
      </c>
      <c r="V53">
        <f t="shared" si="1"/>
        <v>41.613113380723128</v>
      </c>
      <c r="W53">
        <f t="shared" si="1"/>
        <v>30.194109612790498</v>
      </c>
      <c r="X53">
        <f t="shared" si="1"/>
        <v>77.35617459760519</v>
      </c>
      <c r="Y53">
        <f t="shared" si="1"/>
        <v>244.57115988731564</v>
      </c>
      <c r="Z53">
        <f t="shared" si="1"/>
        <v>67.846532298464439</v>
      </c>
      <c r="AA53">
        <f t="shared" si="1"/>
        <v>344.17981935548005</v>
      </c>
      <c r="AB53">
        <f t="shared" si="1"/>
        <v>104.99513925742502</v>
      </c>
      <c r="AC53">
        <f t="shared" si="1"/>
        <v>71.829582889885643</v>
      </c>
      <c r="AD53">
        <f t="shared" si="1"/>
        <v>230.26335289692156</v>
      </c>
      <c r="AE53">
        <f t="shared" si="1"/>
        <v>159.73676463874639</v>
      </c>
      <c r="AF53">
        <f t="shared" si="1"/>
        <v>383.97166113903734</v>
      </c>
      <c r="AG53">
        <f t="shared" si="1"/>
        <v>184.19998614815773</v>
      </c>
      <c r="AH53">
        <f t="shared" si="1"/>
        <v>186.58770913541517</v>
      </c>
      <c r="AI53">
        <f t="shared" si="1"/>
        <v>259.00083078313293</v>
      </c>
      <c r="AJ53">
        <f t="shared" si="1"/>
        <v>127.598809465702</v>
      </c>
      <c r="AK53">
        <f t="shared" si="1"/>
        <v>628.48550479388416</v>
      </c>
      <c r="AL53">
        <f t="shared" si="1"/>
        <v>221.59993237585775</v>
      </c>
      <c r="AM53">
        <f t="shared" si="1"/>
        <v>280.31230668424701</v>
      </c>
      <c r="AN53">
        <f t="shared" si="1"/>
        <v>214.94671323696659</v>
      </c>
      <c r="AO53">
        <f t="shared" si="1"/>
        <v>183.0535637438644</v>
      </c>
      <c r="AP53">
        <f t="shared" si="1"/>
        <v>63.664487234590212</v>
      </c>
      <c r="AQ53">
        <f t="shared" si="1"/>
        <v>84.574163606938953</v>
      </c>
      <c r="AT53">
        <f t="shared" si="1"/>
        <v>429.20510495512042</v>
      </c>
      <c r="AU53">
        <f t="shared" si="1"/>
        <v>118.47266487563488</v>
      </c>
      <c r="AV53">
        <f t="shared" si="1"/>
        <v>144.08816737095145</v>
      </c>
      <c r="AW53">
        <f t="shared" si="1"/>
        <v>386.76425701319374</v>
      </c>
      <c r="AX53">
        <f t="shared" si="1"/>
        <v>282.096487799957</v>
      </c>
    </row>
    <row r="54" spans="1:54" x14ac:dyDescent="0.2">
      <c r="B54" s="5"/>
    </row>
    <row r="55" spans="1:54" x14ac:dyDescent="0.2">
      <c r="B55" s="5" t="s">
        <v>169</v>
      </c>
      <c r="D55">
        <f>D52*100/D63</f>
        <v>10.593565624332834</v>
      </c>
      <c r="E55">
        <f t="shared" ref="E55:AX55" si="2">E52*100/E63</f>
        <v>16.597261968684695</v>
      </c>
      <c r="F55">
        <f t="shared" si="2"/>
        <v>24.561816481478154</v>
      </c>
      <c r="G55">
        <f t="shared" si="2"/>
        <v>15.432599616277761</v>
      </c>
      <c r="H55">
        <f t="shared" si="2"/>
        <v>20.540876618049555</v>
      </c>
      <c r="I55">
        <f t="shared" si="2"/>
        <v>18.697028123786499</v>
      </c>
      <c r="J55">
        <f t="shared" si="2"/>
        <v>15.186912039880433</v>
      </c>
      <c r="K55">
        <f t="shared" si="2"/>
        <v>16.072705178106364</v>
      </c>
      <c r="L55">
        <f t="shared" si="2"/>
        <v>14.736868238993507</v>
      </c>
      <c r="M55">
        <f t="shared" si="2"/>
        <v>13.430147436882176</v>
      </c>
      <c r="N55">
        <f t="shared" si="2"/>
        <v>23.974288465980852</v>
      </c>
      <c r="P55">
        <f t="shared" si="2"/>
        <v>18.630191795709912</v>
      </c>
      <c r="R55">
        <f t="shared" si="2"/>
        <v>19.198227029721401</v>
      </c>
      <c r="S55">
        <f t="shared" si="2"/>
        <v>13.740152554534582</v>
      </c>
      <c r="T55">
        <f t="shared" si="2"/>
        <v>21.407324079480013</v>
      </c>
      <c r="U55">
        <f t="shared" si="2"/>
        <v>24.768137590837103</v>
      </c>
      <c r="V55">
        <f t="shared" si="2"/>
        <v>15.833665562892532</v>
      </c>
      <c r="W55">
        <f t="shared" si="2"/>
        <v>33.945177392276513</v>
      </c>
      <c r="X55">
        <f t="shared" si="2"/>
        <v>19.601622533043699</v>
      </c>
      <c r="Y55">
        <f t="shared" si="2"/>
        <v>7.8727876753877242</v>
      </c>
      <c r="Z55">
        <f t="shared" si="2"/>
        <v>21.557572343121873</v>
      </c>
      <c r="AA55">
        <f t="shared" si="2"/>
        <v>9.8578591492479806</v>
      </c>
      <c r="AB55">
        <f t="shared" si="2"/>
        <v>4.918979544808062</v>
      </c>
      <c r="AC55">
        <f t="shared" si="2"/>
        <v>4.2828079975609734</v>
      </c>
      <c r="AD55">
        <f t="shared" si="2"/>
        <v>6.4216383807102115</v>
      </c>
      <c r="AE55">
        <f t="shared" si="2"/>
        <v>14.388211522283022</v>
      </c>
      <c r="AF55">
        <f t="shared" si="2"/>
        <v>8.0347456405282394</v>
      </c>
      <c r="AG55">
        <f t="shared" si="2"/>
        <v>1.3469550683201894</v>
      </c>
      <c r="AH55">
        <f t="shared" si="2"/>
        <v>4.6677682682363262</v>
      </c>
      <c r="AI55">
        <f t="shared" si="2"/>
        <v>1.4519289058663076</v>
      </c>
      <c r="AJ55">
        <f t="shared" si="2"/>
        <v>7.9513089873999139</v>
      </c>
      <c r="AK55">
        <f t="shared" si="2"/>
        <v>2.4674268129582373</v>
      </c>
      <c r="AL55">
        <f t="shared" si="2"/>
        <v>2.5059830698698069</v>
      </c>
      <c r="AM55">
        <f t="shared" si="2"/>
        <v>5.5803835185148989</v>
      </c>
      <c r="AN55">
        <f t="shared" si="2"/>
        <v>4.9639766517313504</v>
      </c>
      <c r="AO55">
        <f t="shared" si="2"/>
        <v>0.72515372962565938</v>
      </c>
      <c r="AP55">
        <f t="shared" si="2"/>
        <v>14.487857103858836</v>
      </c>
      <c r="AQ55">
        <f t="shared" si="2"/>
        <v>1.6970785886910755</v>
      </c>
      <c r="AT55">
        <f t="shared" si="2"/>
        <v>0.96964189244388999</v>
      </c>
      <c r="AU55">
        <f t="shared" si="2"/>
        <v>7.7357558478403003</v>
      </c>
      <c r="AV55">
        <f t="shared" si="2"/>
        <v>2.2775266351785679</v>
      </c>
      <c r="AW55">
        <f t="shared" si="2"/>
        <v>3.1173185601538145</v>
      </c>
      <c r="AX55">
        <f t="shared" si="2"/>
        <v>1.712810814605263</v>
      </c>
    </row>
    <row r="56" spans="1:54" x14ac:dyDescent="0.2">
      <c r="B56" s="5" t="s">
        <v>182</v>
      </c>
      <c r="D56">
        <f>D53*100/D63</f>
        <v>89.406434375667189</v>
      </c>
      <c r="E56">
        <f t="shared" ref="E56:AX56" si="3">E53*100/E63</f>
        <v>83.402738031315309</v>
      </c>
      <c r="F56">
        <f t="shared" si="3"/>
        <v>75.438183518521839</v>
      </c>
      <c r="G56">
        <f t="shared" si="3"/>
        <v>84.56740038372223</v>
      </c>
      <c r="H56">
        <f t="shared" si="3"/>
        <v>79.459123381950434</v>
      </c>
      <c r="I56">
        <f t="shared" si="3"/>
        <v>81.302971876213491</v>
      </c>
      <c r="J56">
        <f t="shared" si="3"/>
        <v>84.813087960119589</v>
      </c>
      <c r="K56">
        <f t="shared" si="3"/>
        <v>83.927294821893639</v>
      </c>
      <c r="L56">
        <f t="shared" si="3"/>
        <v>85.263131761006477</v>
      </c>
      <c r="M56">
        <f t="shared" si="3"/>
        <v>86.569852563117834</v>
      </c>
      <c r="N56">
        <f t="shared" si="3"/>
        <v>76.025711534019152</v>
      </c>
      <c r="P56">
        <f t="shared" si="3"/>
        <v>81.369808204290109</v>
      </c>
      <c r="R56">
        <f t="shared" si="3"/>
        <v>80.801772970278577</v>
      </c>
      <c r="S56">
        <f t="shared" si="3"/>
        <v>86.259847445465425</v>
      </c>
      <c r="T56">
        <f t="shared" si="3"/>
        <v>78.59267592051998</v>
      </c>
      <c r="U56">
        <f t="shared" si="3"/>
        <v>75.2318624091629</v>
      </c>
      <c r="V56">
        <f t="shared" si="3"/>
        <v>84.166334437107466</v>
      </c>
      <c r="W56">
        <f t="shared" si="3"/>
        <v>66.054822607723494</v>
      </c>
      <c r="X56">
        <f t="shared" si="3"/>
        <v>80.398377466956291</v>
      </c>
      <c r="Y56">
        <f t="shared" si="3"/>
        <v>92.127212324612287</v>
      </c>
      <c r="Z56">
        <f t="shared" si="3"/>
        <v>78.442427656878138</v>
      </c>
      <c r="AA56">
        <f t="shared" si="3"/>
        <v>90.142140850752028</v>
      </c>
      <c r="AB56">
        <f t="shared" si="3"/>
        <v>95.081020455191933</v>
      </c>
      <c r="AC56">
        <f t="shared" si="3"/>
        <v>95.717192002439006</v>
      </c>
      <c r="AD56">
        <f t="shared" si="3"/>
        <v>93.57836161928978</v>
      </c>
      <c r="AE56">
        <f t="shared" si="3"/>
        <v>85.611788477716971</v>
      </c>
      <c r="AF56">
        <f t="shared" si="3"/>
        <v>91.965254359471743</v>
      </c>
      <c r="AG56">
        <f t="shared" si="3"/>
        <v>98.65304493167983</v>
      </c>
      <c r="AH56">
        <f t="shared" si="3"/>
        <v>95.33223173176367</v>
      </c>
      <c r="AI56">
        <f t="shared" si="3"/>
        <v>98.548071094133675</v>
      </c>
      <c r="AJ56">
        <f t="shared" si="3"/>
        <v>92.048691012600074</v>
      </c>
      <c r="AK56">
        <f t="shared" si="3"/>
        <v>97.532573187041763</v>
      </c>
      <c r="AL56">
        <f t="shared" si="3"/>
        <v>97.494016930130201</v>
      </c>
      <c r="AM56">
        <f t="shared" si="3"/>
        <v>94.419616481485122</v>
      </c>
      <c r="AN56">
        <f t="shared" si="3"/>
        <v>95.036023348268643</v>
      </c>
      <c r="AO56">
        <f t="shared" si="3"/>
        <v>99.27484627037434</v>
      </c>
      <c r="AP56">
        <f t="shared" si="3"/>
        <v>85.512142896141171</v>
      </c>
      <c r="AQ56">
        <f t="shared" si="3"/>
        <v>98.302921411308901</v>
      </c>
      <c r="AT56">
        <f t="shared" si="3"/>
        <v>99.030358107556083</v>
      </c>
      <c r="AU56">
        <f t="shared" si="3"/>
        <v>92.264244152159691</v>
      </c>
      <c r="AV56">
        <f t="shared" si="3"/>
        <v>97.722473364821425</v>
      </c>
      <c r="AW56">
        <f t="shared" si="3"/>
        <v>96.882681439846181</v>
      </c>
      <c r="AX56">
        <f t="shared" si="3"/>
        <v>98.287189185394737</v>
      </c>
    </row>
    <row r="57" spans="1:54" x14ac:dyDescent="0.2">
      <c r="A57" s="4" t="s">
        <v>38</v>
      </c>
      <c r="D57">
        <f>SUM(D39:D41,D46:D50)</f>
        <v>499.73886545185326</v>
      </c>
      <c r="E57">
        <f t="shared" ref="E57:AX57" si="4">SUM(E39:E41,E46:E50)</f>
        <v>69.387650133854763</v>
      </c>
      <c r="F57">
        <f t="shared" si="4"/>
        <v>94.500450843919424</v>
      </c>
      <c r="G57">
        <f t="shared" si="4"/>
        <v>183.48554754788336</v>
      </c>
      <c r="H57">
        <f t="shared" si="4"/>
        <v>68.074117230901138</v>
      </c>
      <c r="I57">
        <f t="shared" si="4"/>
        <v>79.231765629850855</v>
      </c>
      <c r="J57">
        <f t="shared" si="4"/>
        <v>170.67600206712444</v>
      </c>
      <c r="K57">
        <f t="shared" si="4"/>
        <v>160.80084881758549</v>
      </c>
      <c r="L57">
        <f t="shared" si="4"/>
        <v>228.91207980589397</v>
      </c>
      <c r="M57">
        <f t="shared" si="4"/>
        <v>140.95442150712645</v>
      </c>
      <c r="N57">
        <f t="shared" si="4"/>
        <v>81.206779365297862</v>
      </c>
      <c r="P57">
        <f t="shared" si="4"/>
        <v>125.70212393737123</v>
      </c>
      <c r="R57">
        <f t="shared" si="4"/>
        <v>124.24575042732236</v>
      </c>
      <c r="S57">
        <f t="shared" si="4"/>
        <v>105.49097920251263</v>
      </c>
      <c r="T57">
        <f t="shared" si="4"/>
        <v>112.13781221542905</v>
      </c>
      <c r="U57">
        <f t="shared" si="4"/>
        <v>160.17622077231789</v>
      </c>
      <c r="V57">
        <f t="shared" si="4"/>
        <v>39.759182800313503</v>
      </c>
      <c r="W57">
        <f t="shared" si="4"/>
        <v>31.781547070916314</v>
      </c>
      <c r="X57">
        <f t="shared" si="4"/>
        <v>74.73995766435317</v>
      </c>
      <c r="Y57">
        <f t="shared" si="4"/>
        <v>215.86087953047354</v>
      </c>
      <c r="Z57">
        <f t="shared" si="4"/>
        <v>67.192221174936122</v>
      </c>
      <c r="AA57">
        <f t="shared" si="4"/>
        <v>319.75696283726501</v>
      </c>
      <c r="AB57">
        <f t="shared" si="4"/>
        <v>103.98091097000803</v>
      </c>
      <c r="AC57">
        <f t="shared" si="4"/>
        <v>71.007150640156112</v>
      </c>
      <c r="AD57">
        <f t="shared" si="4"/>
        <v>225.77891541247357</v>
      </c>
      <c r="AE57">
        <f t="shared" si="4"/>
        <v>165.82506075629007</v>
      </c>
      <c r="AF57">
        <f t="shared" si="4"/>
        <v>338.85931165312417</v>
      </c>
      <c r="AG57">
        <f t="shared" si="4"/>
        <v>181.88532385552756</v>
      </c>
      <c r="AH57">
        <f t="shared" si="4"/>
        <v>189.1781657873473</v>
      </c>
      <c r="AI57">
        <f t="shared" si="4"/>
        <v>253.92745918040293</v>
      </c>
      <c r="AJ57">
        <f t="shared" si="4"/>
        <v>130.3366519086446</v>
      </c>
      <c r="AK57">
        <f t="shared" si="4"/>
        <v>612.74772141478456</v>
      </c>
      <c r="AL57">
        <f t="shared" si="4"/>
        <v>215.44544379353869</v>
      </c>
      <c r="AM57">
        <f t="shared" si="4"/>
        <v>287.01936576732629</v>
      </c>
      <c r="AN57">
        <f t="shared" si="4"/>
        <v>216.34699246540174</v>
      </c>
      <c r="AO57">
        <f t="shared" si="4"/>
        <v>173.0404164681494</v>
      </c>
      <c r="AP57">
        <f t="shared" si="4"/>
        <v>65.165784897350107</v>
      </c>
      <c r="AQ57">
        <f t="shared" si="4"/>
        <v>81.20554452481808</v>
      </c>
      <c r="AT57">
        <f t="shared" si="4"/>
        <v>404.72013863701375</v>
      </c>
      <c r="AU57">
        <f t="shared" si="4"/>
        <v>122.57423188070831</v>
      </c>
      <c r="AV57">
        <f t="shared" si="4"/>
        <v>141.65929729389856</v>
      </c>
      <c r="AW57">
        <f t="shared" si="4"/>
        <v>381.26076189205179</v>
      </c>
      <c r="AX57">
        <f t="shared" si="4"/>
        <v>278.14636632595682</v>
      </c>
    </row>
    <row r="58" spans="1:54" x14ac:dyDescent="0.2">
      <c r="A58" s="4" t="s">
        <v>39</v>
      </c>
      <c r="D58">
        <f>SUM(D36:D38,D42:D45)</f>
        <v>123.95373974310486</v>
      </c>
      <c r="E58">
        <f t="shared" ref="E58:AX58" si="5">SUM(E36:E38,E42:E45)</f>
        <v>13.026181674508802</v>
      </c>
      <c r="F58">
        <f t="shared" si="5"/>
        <v>19.089834841122119</v>
      </c>
      <c r="G58">
        <f t="shared" si="5"/>
        <v>33.374034777349955</v>
      </c>
      <c r="H58">
        <f t="shared" si="5"/>
        <v>19.010596040941913</v>
      </c>
      <c r="I58">
        <f t="shared" si="5"/>
        <v>14.746308418442316</v>
      </c>
      <c r="J58">
        <f t="shared" si="5"/>
        <v>42.074805371443603</v>
      </c>
      <c r="K58">
        <f t="shared" si="5"/>
        <v>29.527995137206545</v>
      </c>
      <c r="L58">
        <f t="shared" si="5"/>
        <v>34.455644974896487</v>
      </c>
      <c r="M58">
        <f t="shared" si="5"/>
        <v>23.073884233355002</v>
      </c>
      <c r="N58">
        <f t="shared" si="5"/>
        <v>17.097291257951714</v>
      </c>
      <c r="P58">
        <f t="shared" si="5"/>
        <v>29.418695300576182</v>
      </c>
      <c r="R58">
        <f t="shared" si="5"/>
        <v>20.460728526380553</v>
      </c>
      <c r="S58">
        <f t="shared" si="5"/>
        <v>56.054485965995724</v>
      </c>
      <c r="T58">
        <f t="shared" si="5"/>
        <v>24.910579731340093</v>
      </c>
      <c r="U58">
        <f t="shared" si="5"/>
        <v>60.627529710535526</v>
      </c>
      <c r="V58">
        <f t="shared" si="5"/>
        <v>9.6823351878770758</v>
      </c>
      <c r="W58">
        <f t="shared" si="5"/>
        <v>13.929134482348559</v>
      </c>
      <c r="X58">
        <f t="shared" si="5"/>
        <v>21.47613155883862</v>
      </c>
      <c r="Y58">
        <f t="shared" si="5"/>
        <v>49.610259469764244</v>
      </c>
      <c r="Z58">
        <f t="shared" si="5"/>
        <v>19.299916211782545</v>
      </c>
      <c r="AA58">
        <f>SUM(AA36:AA38,AA42:AA45)</f>
        <v>62.062035588052154</v>
      </c>
      <c r="AB58">
        <f t="shared" si="5"/>
        <v>6.44611090540951</v>
      </c>
      <c r="AC58">
        <f t="shared" si="5"/>
        <v>4.0364035920400401</v>
      </c>
      <c r="AD58">
        <f t="shared" si="5"/>
        <v>20.285825316494492</v>
      </c>
      <c r="AE58">
        <f t="shared" si="5"/>
        <v>20.757613755085966</v>
      </c>
      <c r="AF58">
        <f t="shared" si="5"/>
        <v>78.658873680412086</v>
      </c>
      <c r="AG58">
        <f t="shared" si="5"/>
        <v>4.8296288108820207</v>
      </c>
      <c r="AH58">
        <f t="shared" si="5"/>
        <v>6.5454690693474022</v>
      </c>
      <c r="AI58">
        <f t="shared" si="5"/>
        <v>8.8892838644546437</v>
      </c>
      <c r="AJ58">
        <f t="shared" si="5"/>
        <v>8.28434102675266</v>
      </c>
      <c r="AK58">
        <f t="shared" si="5"/>
        <v>31.637517543911507</v>
      </c>
      <c r="AL58">
        <f t="shared" si="5"/>
        <v>11.850486104055946</v>
      </c>
      <c r="AM58">
        <f t="shared" si="5"/>
        <v>9.8599450475125963</v>
      </c>
      <c r="AN58">
        <f t="shared" si="5"/>
        <v>9.8269420744239397</v>
      </c>
      <c r="AO58">
        <f>SUM(AO36:AO38,AO42:AO45)</f>
        <v>11.35026316616532</v>
      </c>
      <c r="AP58">
        <f t="shared" si="5"/>
        <v>9.2850300142981226</v>
      </c>
      <c r="AQ58">
        <f t="shared" si="5"/>
        <v>4.828687614705502</v>
      </c>
      <c r="AT58">
        <f t="shared" si="5"/>
        <v>28.687468037460839</v>
      </c>
      <c r="AU58">
        <f t="shared" si="5"/>
        <v>5.8315941945077583</v>
      </c>
      <c r="AV58">
        <f t="shared" si="5"/>
        <v>5.7869987418513302</v>
      </c>
      <c r="AW58">
        <f t="shared" si="5"/>
        <v>17.94810729406078</v>
      </c>
      <c r="AX58">
        <f t="shared" si="5"/>
        <v>8.8661020719856563</v>
      </c>
    </row>
    <row r="60" spans="1:54" x14ac:dyDescent="0.2">
      <c r="C60" s="6" t="s">
        <v>172</v>
      </c>
      <c r="D60">
        <f>SUM(D46,D50)</f>
        <v>90.692597225414275</v>
      </c>
      <c r="E60">
        <f t="shared" ref="E60:AX60" si="6">SUM(E46,E50)</f>
        <v>3.3817340994074598</v>
      </c>
      <c r="F60">
        <f t="shared" si="6"/>
        <v>5.5314966846671307</v>
      </c>
      <c r="G60">
        <f t="shared" si="6"/>
        <v>13.634320475833878</v>
      </c>
      <c r="H60">
        <f t="shared" si="6"/>
        <v>11.885754462959653</v>
      </c>
      <c r="I60">
        <f t="shared" si="6"/>
        <v>9.0123109186620614</v>
      </c>
      <c r="J60">
        <f t="shared" si="6"/>
        <v>15.981465383509043</v>
      </c>
      <c r="K60">
        <f t="shared" si="6"/>
        <v>6.9903397522028223</v>
      </c>
      <c r="L60">
        <f t="shared" si="6"/>
        <v>7.5806881247580318</v>
      </c>
      <c r="M60">
        <f t="shared" si="6"/>
        <v>8.3688908960048405</v>
      </c>
      <c r="N60">
        <f t="shared" si="6"/>
        <v>8.2342760132798904</v>
      </c>
      <c r="P60">
        <f t="shared" si="6"/>
        <v>8.6069233567577967</v>
      </c>
      <c r="R60">
        <f t="shared" si="6"/>
        <v>8.8687686420298011</v>
      </c>
      <c r="S60">
        <f t="shared" si="6"/>
        <v>15.35166135342231</v>
      </c>
      <c r="T60">
        <f t="shared" si="6"/>
        <v>12.838259307792175</v>
      </c>
      <c r="U60">
        <f t="shared" si="6"/>
        <v>15.643524775471761</v>
      </c>
      <c r="V60">
        <f t="shared" si="6"/>
        <v>2.3293057811041216</v>
      </c>
      <c r="W60">
        <f t="shared" si="6"/>
        <v>3.5291427943879747</v>
      </c>
      <c r="X60">
        <f t="shared" si="6"/>
        <v>3.614488801360622</v>
      </c>
      <c r="Y60">
        <f t="shared" si="6"/>
        <v>25.558428466295201</v>
      </c>
      <c r="Z60">
        <f t="shared" si="6"/>
        <v>3.1870217584849496</v>
      </c>
      <c r="AA60">
        <f t="shared" si="6"/>
        <v>75.933899680751239</v>
      </c>
      <c r="AB60">
        <f t="shared" si="6"/>
        <v>13.385471671866643</v>
      </c>
      <c r="AC60">
        <f t="shared" si="6"/>
        <v>11.717524305379785</v>
      </c>
      <c r="AD60">
        <f t="shared" si="6"/>
        <v>36.691456162895143</v>
      </c>
      <c r="AE60">
        <f t="shared" si="6"/>
        <v>6.0866386664916652</v>
      </c>
      <c r="AF60">
        <f t="shared" si="6"/>
        <v>85.761403239230944</v>
      </c>
      <c r="AG60">
        <f t="shared" si="6"/>
        <v>55.123142332857363</v>
      </c>
      <c r="AH60">
        <f t="shared" si="6"/>
        <v>27.826707139971344</v>
      </c>
      <c r="AI60">
        <f t="shared" si="6"/>
        <v>63.207292165014209</v>
      </c>
      <c r="AJ60">
        <f t="shared" si="6"/>
        <v>16.763159445809499</v>
      </c>
      <c r="AK60">
        <f t="shared" si="6"/>
        <v>219.37914224401666</v>
      </c>
      <c r="AL60">
        <f t="shared" si="6"/>
        <v>63.653975980600592</v>
      </c>
      <c r="AM60">
        <f t="shared" si="6"/>
        <v>51.914837972086431</v>
      </c>
      <c r="AN60">
        <f t="shared" si="6"/>
        <v>38.661608965189814</v>
      </c>
      <c r="AO60">
        <f t="shared" si="6"/>
        <v>49.476860206136621</v>
      </c>
      <c r="AP60">
        <f t="shared" si="6"/>
        <v>2.6406860699002013</v>
      </c>
      <c r="AQ60">
        <f t="shared" si="6"/>
        <v>22.733419123265556</v>
      </c>
      <c r="AT60">
        <f t="shared" si="6"/>
        <v>122.82185855276909</v>
      </c>
      <c r="AU60">
        <f t="shared" si="6"/>
        <v>9.0338679280641596</v>
      </c>
      <c r="AV60">
        <f t="shared" si="6"/>
        <v>34.870503765482567</v>
      </c>
      <c r="AW60">
        <f t="shared" si="6"/>
        <v>105.30070736734741</v>
      </c>
      <c r="AX60">
        <f t="shared" si="6"/>
        <v>84.880081526157966</v>
      </c>
    </row>
    <row r="61" spans="1:54" x14ac:dyDescent="0.2">
      <c r="C61" s="6" t="s">
        <v>171</v>
      </c>
      <c r="D61">
        <f>SUM(D42,D43,D45)</f>
        <v>54.13332749521318</v>
      </c>
      <c r="E61">
        <f t="shared" ref="E61:AX61" si="7">SUM(E42,E43,E45)</f>
        <v>2.2573499525857708</v>
      </c>
      <c r="F61">
        <f t="shared" si="7"/>
        <v>2.820431738495849</v>
      </c>
      <c r="G61">
        <f t="shared" si="7"/>
        <v>7.1816995222401321</v>
      </c>
      <c r="H61">
        <f t="shared" si="7"/>
        <v>4.4437753822745361</v>
      </c>
      <c r="I61">
        <f t="shared" si="7"/>
        <v>4.4778212336962611</v>
      </c>
      <c r="J61">
        <f t="shared" si="7"/>
        <v>10.707340610702106</v>
      </c>
      <c r="K61">
        <f t="shared" si="7"/>
        <v>9.1549931924465753</v>
      </c>
      <c r="L61">
        <f t="shared" si="7"/>
        <v>8.2186804676221712</v>
      </c>
      <c r="M61">
        <f t="shared" si="7"/>
        <v>4.9680643415569641</v>
      </c>
      <c r="N61">
        <f t="shared" si="7"/>
        <v>3.8351731196198839</v>
      </c>
      <c r="P61">
        <f t="shared" si="7"/>
        <v>7.7461626851259275</v>
      </c>
      <c r="R61">
        <f t="shared" si="7"/>
        <v>5.0699151075643289</v>
      </c>
      <c r="S61">
        <f t="shared" si="7"/>
        <v>21.021244656216279</v>
      </c>
      <c r="T61">
        <f t="shared" si="7"/>
        <v>6.4953498139216395</v>
      </c>
      <c r="U61">
        <f t="shared" si="7"/>
        <v>16.505805118902536</v>
      </c>
      <c r="V61">
        <f t="shared" si="7"/>
        <v>5.4866599776713372</v>
      </c>
      <c r="W61">
        <f t="shared" si="7"/>
        <v>4.522619306526571</v>
      </c>
      <c r="X61">
        <f t="shared" si="7"/>
        <v>6.1433922381461237</v>
      </c>
      <c r="Y61">
        <f t="shared" si="7"/>
        <v>35.688136759109007</v>
      </c>
      <c r="Z61">
        <f t="shared" si="7"/>
        <v>6.2567751858191363</v>
      </c>
      <c r="AA61">
        <f t="shared" si="7"/>
        <v>28.78072056815757</v>
      </c>
      <c r="AB61">
        <f t="shared" si="7"/>
        <v>3.689242090351609</v>
      </c>
      <c r="AC61">
        <f t="shared" si="7"/>
        <v>2.3914654341169843</v>
      </c>
      <c r="AD61">
        <f t="shared" si="7"/>
        <v>11.290042272236708</v>
      </c>
      <c r="AE61">
        <f t="shared" si="7"/>
        <v>2.7639421183882402</v>
      </c>
      <c r="AF61">
        <f t="shared" si="7"/>
        <v>26.231208683930767</v>
      </c>
      <c r="AG61">
        <f t="shared" si="7"/>
        <v>2.6257143451126939</v>
      </c>
      <c r="AH61">
        <f t="shared" si="7"/>
        <v>3.2770683526511988</v>
      </c>
      <c r="AI61">
        <f t="shared" si="7"/>
        <v>4.6414515629055746</v>
      </c>
      <c r="AJ61">
        <f t="shared" si="7"/>
        <v>2.7925183913592848</v>
      </c>
      <c r="AK61">
        <f t="shared" si="7"/>
        <v>15.7097320627151</v>
      </c>
      <c r="AL61">
        <f t="shared" si="7"/>
        <v>6.0513549827244741</v>
      </c>
      <c r="AM61">
        <f t="shared" si="7"/>
        <v>4.481566594666635</v>
      </c>
      <c r="AN61">
        <f t="shared" si="7"/>
        <v>4.1435244537327218</v>
      </c>
      <c r="AO61">
        <f t="shared" si="7"/>
        <v>6.113314457344897</v>
      </c>
      <c r="AP61">
        <f t="shared" si="7"/>
        <v>3.0577106963119882</v>
      </c>
      <c r="AQ61">
        <f t="shared" si="7"/>
        <v>2.3740709726211513</v>
      </c>
      <c r="AT61">
        <f t="shared" si="7"/>
        <v>15.878897854006112</v>
      </c>
      <c r="AU61">
        <f t="shared" si="7"/>
        <v>1.7128496382538578</v>
      </c>
      <c r="AV61">
        <f t="shared" si="7"/>
        <v>2.9891504436548182</v>
      </c>
      <c r="AW61">
        <f t="shared" si="7"/>
        <v>8.5548596077147252</v>
      </c>
      <c r="AX61">
        <f t="shared" si="7"/>
        <v>3.9325336981590229</v>
      </c>
    </row>
    <row r="62" spans="1:54" x14ac:dyDescent="0.2">
      <c r="C62" s="6" t="s">
        <v>166</v>
      </c>
      <c r="D62">
        <f>SUM(D47:D49)</f>
        <v>368.8080980590035</v>
      </c>
      <c r="E62">
        <f t="shared" ref="E62:AX62" si="8">SUM(E47:E49)</f>
        <v>59.233849654810605</v>
      </c>
      <c r="F62">
        <f t="shared" si="8"/>
        <v>73.931319876002163</v>
      </c>
      <c r="G62">
        <f t="shared" si="8"/>
        <v>152.75548244075111</v>
      </c>
      <c r="H62">
        <f t="shared" si="8"/>
        <v>49.01576618936032</v>
      </c>
      <c r="I62">
        <f t="shared" si="8"/>
        <v>60.463263964665444</v>
      </c>
      <c r="J62">
        <f t="shared" si="8"/>
        <v>139.29003882823258</v>
      </c>
      <c r="K62">
        <f t="shared" si="8"/>
        <v>138.64975511795106</v>
      </c>
      <c r="L62">
        <f t="shared" si="8"/>
        <v>202.03234687975191</v>
      </c>
      <c r="M62">
        <f t="shared" si="8"/>
        <v>121.45954988769277</v>
      </c>
      <c r="N62">
        <f t="shared" si="8"/>
        <v>59.797664566602826</v>
      </c>
      <c r="P62">
        <f t="shared" si="8"/>
        <v>101.49964002790735</v>
      </c>
      <c r="R62">
        <f t="shared" si="8"/>
        <v>98.265678400060835</v>
      </c>
      <c r="S62">
        <f t="shared" si="8"/>
        <v>80.552731742964284</v>
      </c>
      <c r="T62">
        <f t="shared" si="8"/>
        <v>83.106324563000157</v>
      </c>
      <c r="U62">
        <f t="shared" si="8"/>
        <v>121.57415930617651</v>
      </c>
      <c r="V62">
        <f t="shared" si="8"/>
        <v>32.764993193150346</v>
      </c>
      <c r="W62">
        <f t="shared" si="8"/>
        <v>21.439773464971111</v>
      </c>
      <c r="X62">
        <f t="shared" si="8"/>
        <v>61.014690315907643</v>
      </c>
      <c r="Y62">
        <f t="shared" si="8"/>
        <v>179.46902120834358</v>
      </c>
      <c r="Z62">
        <f t="shared" si="8"/>
        <v>55.191545179018412</v>
      </c>
      <c r="AA62">
        <f t="shared" si="8"/>
        <v>219.96912229245174</v>
      </c>
      <c r="AB62">
        <f t="shared" si="8"/>
        <v>86.571559668474265</v>
      </c>
      <c r="AC62">
        <f t="shared" si="8"/>
        <v>56.734771099143039</v>
      </c>
      <c r="AD62">
        <f t="shared" si="8"/>
        <v>178.950549290975</v>
      </c>
      <c r="AE62">
        <f t="shared" si="8"/>
        <v>148.10695472417356</v>
      </c>
      <c r="AF62">
        <f t="shared" si="8"/>
        <v>229.73650615798081</v>
      </c>
      <c r="AG62">
        <f t="shared" si="8"/>
        <v>124.42782956581132</v>
      </c>
      <c r="AH62">
        <f t="shared" si="8"/>
        <v>154.32554306033691</v>
      </c>
      <c r="AI62">
        <f t="shared" si="8"/>
        <v>187.62446587071418</v>
      </c>
      <c r="AJ62">
        <f t="shared" si="8"/>
        <v>106.01808416510413</v>
      </c>
      <c r="AK62">
        <f t="shared" si="8"/>
        <v>381.8692303182753</v>
      </c>
      <c r="AL62">
        <f t="shared" si="8"/>
        <v>147.67214601472284</v>
      </c>
      <c r="AM62">
        <f t="shared" si="8"/>
        <v>222.36560947170622</v>
      </c>
      <c r="AN62">
        <f t="shared" si="8"/>
        <v>169.27113084106918</v>
      </c>
      <c r="AO62">
        <f t="shared" si="8"/>
        <v>122.4343429592783</v>
      </c>
      <c r="AP62">
        <f t="shared" si="8"/>
        <v>56.830975066385562</v>
      </c>
      <c r="AQ62">
        <f t="shared" si="8"/>
        <v>57.208583447297578</v>
      </c>
      <c r="AT62">
        <f t="shared" si="8"/>
        <v>278.49700912348197</v>
      </c>
      <c r="AU62">
        <f t="shared" si="8"/>
        <v>106.48179262217838</v>
      </c>
      <c r="AV62">
        <f t="shared" si="8"/>
        <v>103.82585551592705</v>
      </c>
      <c r="AW62">
        <f t="shared" si="8"/>
        <v>266.63527322774655</v>
      </c>
      <c r="AX62">
        <f t="shared" si="8"/>
        <v>188.82981814698419</v>
      </c>
    </row>
    <row r="63" spans="1:54" x14ac:dyDescent="0.2">
      <c r="C63" t="s">
        <v>167</v>
      </c>
      <c r="D63">
        <f>SUM(D36:D50)</f>
        <v>623.69260519495811</v>
      </c>
      <c r="E63">
        <f t="shared" ref="E63:AX63" si="9">SUM(E36:E50)</f>
        <v>82.413831808363568</v>
      </c>
      <c r="F63">
        <f t="shared" si="9"/>
        <v>113.59028568504155</v>
      </c>
      <c r="G63">
        <f t="shared" si="9"/>
        <v>216.8595823252333</v>
      </c>
      <c r="H63">
        <f t="shared" si="9"/>
        <v>87.084713271843043</v>
      </c>
      <c r="I63">
        <f t="shared" si="9"/>
        <v>93.97807404829318</v>
      </c>
      <c r="J63">
        <f t="shared" si="9"/>
        <v>212.75080743856805</v>
      </c>
      <c r="K63">
        <f t="shared" si="9"/>
        <v>190.32884395479203</v>
      </c>
      <c r="L63">
        <f t="shared" si="9"/>
        <v>263.36772478079047</v>
      </c>
      <c r="M63">
        <f t="shared" si="9"/>
        <v>164.02830574048144</v>
      </c>
      <c r="N63">
        <f t="shared" si="9"/>
        <v>98.304070623249558</v>
      </c>
      <c r="P63">
        <f t="shared" si="9"/>
        <v>155.12081923794739</v>
      </c>
      <c r="R63">
        <f t="shared" si="9"/>
        <v>144.70647895370294</v>
      </c>
      <c r="S63">
        <f t="shared" si="9"/>
        <v>161.54546516850837</v>
      </c>
      <c r="T63">
        <f t="shared" si="9"/>
        <v>137.04839194676916</v>
      </c>
      <c r="U63">
        <f t="shared" si="9"/>
        <v>220.80375048285342</v>
      </c>
      <c r="V63">
        <f t="shared" si="9"/>
        <v>49.441517988190576</v>
      </c>
      <c r="W63">
        <f t="shared" si="9"/>
        <v>45.710681553264877</v>
      </c>
      <c r="X63">
        <f t="shared" si="9"/>
        <v>96.216089223191787</v>
      </c>
      <c r="Y63">
        <f t="shared" si="9"/>
        <v>265.47113900023777</v>
      </c>
      <c r="Z63">
        <f t="shared" si="9"/>
        <v>86.492137386718667</v>
      </c>
      <c r="AA63">
        <f t="shared" si="9"/>
        <v>381.81899842531715</v>
      </c>
      <c r="AB63">
        <f t="shared" si="9"/>
        <v>110.42702187541754</v>
      </c>
      <c r="AC63">
        <f t="shared" si="9"/>
        <v>75.043554232196158</v>
      </c>
      <c r="AD63">
        <f t="shared" si="9"/>
        <v>246.06474072896808</v>
      </c>
      <c r="AE63">
        <f t="shared" si="9"/>
        <v>186.58267451137604</v>
      </c>
      <c r="AF63">
        <f t="shared" si="9"/>
        <v>417.51818533353628</v>
      </c>
      <c r="AG63">
        <f t="shared" si="9"/>
        <v>186.71495266640954</v>
      </c>
      <c r="AH63">
        <f t="shared" si="9"/>
        <v>195.7236348566947</v>
      </c>
      <c r="AI63">
        <f t="shared" si="9"/>
        <v>262.81674304485762</v>
      </c>
      <c r="AJ63">
        <f t="shared" si="9"/>
        <v>138.62099293539725</v>
      </c>
      <c r="AK63">
        <f t="shared" si="9"/>
        <v>644.38523895869605</v>
      </c>
      <c r="AL63">
        <f t="shared" si="9"/>
        <v>227.29592989759459</v>
      </c>
      <c r="AM63">
        <f t="shared" si="9"/>
        <v>296.87931081483885</v>
      </c>
      <c r="AN63">
        <f t="shared" si="9"/>
        <v>226.17393453982569</v>
      </c>
      <c r="AO63">
        <f t="shared" si="9"/>
        <v>184.39067963431472</v>
      </c>
      <c r="AP63">
        <f t="shared" si="9"/>
        <v>74.450814911648237</v>
      </c>
      <c r="AQ63">
        <f t="shared" si="9"/>
        <v>86.034232139523596</v>
      </c>
      <c r="AT63">
        <f t="shared" si="9"/>
        <v>433.40760667447466</v>
      </c>
      <c r="AU63">
        <f t="shared" si="9"/>
        <v>128.40582607521605</v>
      </c>
      <c r="AV63">
        <f t="shared" si="9"/>
        <v>147.4462960357499</v>
      </c>
      <c r="AW63">
        <f t="shared" si="9"/>
        <v>399.20886918611257</v>
      </c>
      <c r="AX63">
        <f t="shared" si="9"/>
        <v>287.01246839794248</v>
      </c>
    </row>
    <row r="64" spans="1:54" x14ac:dyDescent="0.2">
      <c r="C64" t="s">
        <v>168</v>
      </c>
      <c r="D64">
        <f>D62*100/D63</f>
        <v>59.132991955823968</v>
      </c>
      <c r="E64">
        <f t="shared" ref="E64:AX64" si="10">E62*100/E63</f>
        <v>71.873675031330606</v>
      </c>
      <c r="F64">
        <f t="shared" si="10"/>
        <v>65.085952931746178</v>
      </c>
      <c r="G64">
        <f t="shared" si="10"/>
        <v>70.43981215995214</v>
      </c>
      <c r="H64">
        <f t="shared" si="10"/>
        <v>56.285155393866937</v>
      </c>
      <c r="I64">
        <f t="shared" si="10"/>
        <v>64.33762829997427</v>
      </c>
      <c r="J64">
        <f t="shared" si="10"/>
        <v>65.470980112943948</v>
      </c>
      <c r="K64">
        <f t="shared" si="10"/>
        <v>72.847474001830179</v>
      </c>
      <c r="L64">
        <f t="shared" si="10"/>
        <v>76.711125878431019</v>
      </c>
      <c r="M64">
        <f t="shared" si="10"/>
        <v>74.047920777686301</v>
      </c>
      <c r="N64">
        <f t="shared" si="10"/>
        <v>60.829286302677566</v>
      </c>
      <c r="P64">
        <f t="shared" si="10"/>
        <v>65.432635365477353</v>
      </c>
      <c r="R64">
        <f t="shared" si="10"/>
        <v>67.906896160122685</v>
      </c>
      <c r="S64">
        <f t="shared" si="10"/>
        <v>49.863814907425336</v>
      </c>
      <c r="T64">
        <f t="shared" si="10"/>
        <v>60.640131111702075</v>
      </c>
      <c r="U64">
        <f t="shared" si="10"/>
        <v>55.059825315610929</v>
      </c>
      <c r="V64">
        <f t="shared" si="10"/>
        <v>66.270200686347195</v>
      </c>
      <c r="W64">
        <f t="shared" si="10"/>
        <v>46.903202351048257</v>
      </c>
      <c r="X64">
        <f t="shared" si="10"/>
        <v>63.414228128075649</v>
      </c>
      <c r="Y64">
        <f t="shared" si="10"/>
        <v>67.603967001543936</v>
      </c>
      <c r="Z64">
        <f t="shared" si="10"/>
        <v>63.811054792471083</v>
      </c>
      <c r="AA64">
        <f t="shared" si="10"/>
        <v>57.610837386206484</v>
      </c>
      <c r="AB64">
        <f t="shared" si="10"/>
        <v>78.397079082820213</v>
      </c>
      <c r="AC64">
        <f t="shared" si="10"/>
        <v>75.602457372417405</v>
      </c>
      <c r="AD64">
        <f t="shared" si="10"/>
        <v>72.724986424642992</v>
      </c>
      <c r="AE64">
        <f t="shared" si="10"/>
        <v>79.37872855131755</v>
      </c>
      <c r="AF64">
        <f t="shared" si="10"/>
        <v>55.024311330165119</v>
      </c>
      <c r="AG64">
        <f t="shared" si="10"/>
        <v>66.64052760044224</v>
      </c>
      <c r="AH64">
        <f t="shared" si="10"/>
        <v>78.848700706652664</v>
      </c>
      <c r="AI64">
        <f t="shared" si="10"/>
        <v>71.389845143423912</v>
      </c>
      <c r="AJ64">
        <f t="shared" si="10"/>
        <v>76.48054015491914</v>
      </c>
      <c r="AK64">
        <f t="shared" si="10"/>
        <v>59.261014565659913</v>
      </c>
      <c r="AL64">
        <f t="shared" si="10"/>
        <v>64.969111449226006</v>
      </c>
      <c r="AM64">
        <f t="shared" si="10"/>
        <v>74.901012421978379</v>
      </c>
      <c r="AN64">
        <f t="shared" si="10"/>
        <v>74.841131090312786</v>
      </c>
      <c r="AO64">
        <f t="shared" si="10"/>
        <v>66.399420622610208</v>
      </c>
      <c r="AP64">
        <f t="shared" si="10"/>
        <v>76.333583633473495</v>
      </c>
      <c r="AQ64">
        <f t="shared" si="10"/>
        <v>66.495140393095127</v>
      </c>
      <c r="AT64">
        <f t="shared" si="10"/>
        <v>64.257526825701632</v>
      </c>
      <c r="AU64">
        <f t="shared" si="10"/>
        <v>82.925982314700221</v>
      </c>
      <c r="AV64">
        <f t="shared" si="10"/>
        <v>70.41604862746324</v>
      </c>
      <c r="AW64">
        <f t="shared" si="10"/>
        <v>66.790919192589442</v>
      </c>
      <c r="AX64">
        <f t="shared" si="10"/>
        <v>65.791503484500836</v>
      </c>
    </row>
    <row r="65" spans="1:54" x14ac:dyDescent="0.2">
      <c r="C65" s="6" t="s">
        <v>174</v>
      </c>
      <c r="D65">
        <f>D48*100/D63</f>
        <v>55.444292422880913</v>
      </c>
      <c r="E65">
        <f t="shared" ref="E65:AX65" si="11">E48*100/E63</f>
        <v>59.085162061718513</v>
      </c>
      <c r="F65">
        <f t="shared" si="11"/>
        <v>58.227154283280726</v>
      </c>
      <c r="G65">
        <f t="shared" si="11"/>
        <v>62.721757601937675</v>
      </c>
      <c r="H65">
        <f t="shared" si="11"/>
        <v>47.436325735610083</v>
      </c>
      <c r="I65">
        <f t="shared" si="11"/>
        <v>60.964015633080493</v>
      </c>
      <c r="J65">
        <f t="shared" si="11"/>
        <v>55.087312954505755</v>
      </c>
      <c r="K65">
        <f t="shared" si="11"/>
        <v>68.871780959481583</v>
      </c>
      <c r="L65">
        <f t="shared" si="11"/>
        <v>69.404150020324906</v>
      </c>
      <c r="M65">
        <f t="shared" si="11"/>
        <v>63.668727832481785</v>
      </c>
      <c r="N65">
        <f t="shared" si="11"/>
        <v>47.600485521293535</v>
      </c>
      <c r="P65">
        <f t="shared" si="11"/>
        <v>60.102276519562373</v>
      </c>
      <c r="R65">
        <f t="shared" si="11"/>
        <v>59.58795053176452</v>
      </c>
      <c r="S65">
        <f t="shared" si="11"/>
        <v>42.234141644221523</v>
      </c>
      <c r="T65">
        <f t="shared" si="11"/>
        <v>45.368743845224095</v>
      </c>
      <c r="U65">
        <f t="shared" si="11"/>
        <v>41.66031615142667</v>
      </c>
      <c r="V65">
        <f t="shared" si="11"/>
        <v>42.700048655868535</v>
      </c>
      <c r="W65">
        <f t="shared" si="11"/>
        <v>33.352985696880161</v>
      </c>
      <c r="X65">
        <f t="shared" si="11"/>
        <v>56.682193410109775</v>
      </c>
      <c r="Y65">
        <f t="shared" si="11"/>
        <v>61.902624340586911</v>
      </c>
      <c r="Z65">
        <f t="shared" si="11"/>
        <v>43.218098369265512</v>
      </c>
      <c r="AA65">
        <f t="shared" si="11"/>
        <v>49.191832448223124</v>
      </c>
      <c r="AB65">
        <f t="shared" si="11"/>
        <v>69.620670512109996</v>
      </c>
      <c r="AC65">
        <f t="shared" si="11"/>
        <v>69.395517737526674</v>
      </c>
      <c r="AD65">
        <f t="shared" si="11"/>
        <v>59.013203504662869</v>
      </c>
      <c r="AE65">
        <f t="shared" si="11"/>
        <v>65.800460935247514</v>
      </c>
      <c r="AF65">
        <f t="shared" si="11"/>
        <v>51.235368832774483</v>
      </c>
      <c r="AG65">
        <f t="shared" si="11"/>
        <v>60.888968476065628</v>
      </c>
      <c r="AH65">
        <f t="shared" si="11"/>
        <v>74.172672792878316</v>
      </c>
      <c r="AI65">
        <f t="shared" si="11"/>
        <v>64.774587668120873</v>
      </c>
      <c r="AJ65">
        <f t="shared" si="11"/>
        <v>66.671189006005704</v>
      </c>
      <c r="AK65">
        <f t="shared" si="11"/>
        <v>56.236500715795614</v>
      </c>
      <c r="AL65">
        <f t="shared" si="11"/>
        <v>57.295178338362319</v>
      </c>
      <c r="AM65">
        <f t="shared" si="11"/>
        <v>68.122871099963007</v>
      </c>
      <c r="AN65">
        <f t="shared" si="11"/>
        <v>66.620551470008948</v>
      </c>
      <c r="AO65">
        <f t="shared" si="11"/>
        <v>58.174673281389381</v>
      </c>
      <c r="AP65">
        <f t="shared" si="11"/>
        <v>64.727509688846837</v>
      </c>
      <c r="AQ65">
        <f t="shared" si="11"/>
        <v>56.377903858016808</v>
      </c>
      <c r="AT65">
        <f t="shared" si="11"/>
        <v>57.518676942346275</v>
      </c>
      <c r="AU65">
        <f t="shared" si="11"/>
        <v>66.673496540771538</v>
      </c>
      <c r="AV65">
        <f t="shared" si="11"/>
        <v>54.376440345435853</v>
      </c>
      <c r="AW65">
        <f t="shared" si="11"/>
        <v>60.16873093701237</v>
      </c>
      <c r="AX65">
        <f t="shared" si="11"/>
        <v>61.894449460130282</v>
      </c>
    </row>
    <row r="66" spans="1:54" x14ac:dyDescent="0.2">
      <c r="C66" s="6" t="s">
        <v>175</v>
      </c>
      <c r="D66">
        <f>D47*100/D63</f>
        <v>2.6987288094176742</v>
      </c>
      <c r="E66">
        <f t="shared" ref="E66:AX66" si="12">E47*100/E63</f>
        <v>4.5307465168517833</v>
      </c>
      <c r="F66">
        <f t="shared" si="12"/>
        <v>3.7822751926184526</v>
      </c>
      <c r="G66">
        <f t="shared" si="12"/>
        <v>5.0898621479629078</v>
      </c>
      <c r="H66">
        <f t="shared" si="12"/>
        <v>3.3003325633430247</v>
      </c>
      <c r="I66">
        <f t="shared" si="12"/>
        <v>1.3659380877311567</v>
      </c>
      <c r="J66">
        <f t="shared" si="12"/>
        <v>4.1347801482939497</v>
      </c>
      <c r="K66">
        <f t="shared" si="12"/>
        <v>1.5063078402030856</v>
      </c>
      <c r="L66">
        <f t="shared" si="12"/>
        <v>5.1721423767823627</v>
      </c>
      <c r="M66">
        <f t="shared" si="12"/>
        <v>5.3507665011237107</v>
      </c>
      <c r="N66">
        <f t="shared" si="12"/>
        <v>5.5144229264760654</v>
      </c>
      <c r="P66">
        <f t="shared" si="12"/>
        <v>3.1079280651140002</v>
      </c>
      <c r="R66">
        <f t="shared" si="12"/>
        <v>3.9443337315714415</v>
      </c>
      <c r="S66">
        <f t="shared" si="12"/>
        <v>4.1697912691044872</v>
      </c>
      <c r="T66">
        <f t="shared" si="12"/>
        <v>2.6406406438567904</v>
      </c>
      <c r="U66">
        <f t="shared" si="12"/>
        <v>6.4518739792426736</v>
      </c>
      <c r="V66">
        <f t="shared" si="12"/>
        <v>6.1448825091173189</v>
      </c>
      <c r="W66">
        <f t="shared" si="12"/>
        <v>6.4204897290714902</v>
      </c>
      <c r="X66">
        <f t="shared" si="12"/>
        <v>1.0810244131893814</v>
      </c>
      <c r="Y66">
        <f t="shared" si="12"/>
        <v>3.6562336334817114</v>
      </c>
      <c r="Z66">
        <f t="shared" si="12"/>
        <v>5.0931230729378028</v>
      </c>
      <c r="AA66">
        <f t="shared" si="12"/>
        <v>3.8580383487466183</v>
      </c>
      <c r="AB66">
        <f t="shared" si="12"/>
        <v>5.5028493668896408</v>
      </c>
      <c r="AC66">
        <f t="shared" si="12"/>
        <v>4.2438130598516119</v>
      </c>
      <c r="AD66">
        <f t="shared" si="12"/>
        <v>5.6116817865202071</v>
      </c>
      <c r="AE66">
        <f t="shared" si="12"/>
        <v>5.6919624465389296</v>
      </c>
      <c r="AF66">
        <f t="shared" si="12"/>
        <v>2.233527854133313</v>
      </c>
      <c r="AG66">
        <f t="shared" si="12"/>
        <v>1.1397691863412358</v>
      </c>
      <c r="AH66">
        <f t="shared" si="12"/>
        <v>2.6701891822011476</v>
      </c>
      <c r="AI66">
        <f t="shared" si="12"/>
        <v>3.4780318437721043</v>
      </c>
      <c r="AJ66">
        <f t="shared" si="12"/>
        <v>5.0421742407991657</v>
      </c>
      <c r="AK66">
        <f t="shared" si="12"/>
        <v>1.1930455342276707</v>
      </c>
      <c r="AL66">
        <f t="shared" si="12"/>
        <v>1.6667641361664247</v>
      </c>
      <c r="AM66">
        <f t="shared" si="12"/>
        <v>5.6053765189602922</v>
      </c>
      <c r="AN66">
        <f t="shared" si="12"/>
        <v>6.0934303088107686</v>
      </c>
      <c r="AO66">
        <f t="shared" si="12"/>
        <v>4.128969659004869</v>
      </c>
      <c r="AP66">
        <f t="shared" si="12"/>
        <v>4.4800571877343973</v>
      </c>
      <c r="AQ66">
        <f t="shared" si="12"/>
        <v>4.5873577795414358</v>
      </c>
      <c r="AT66">
        <f t="shared" si="12"/>
        <v>3.9942477509899077</v>
      </c>
      <c r="AU66">
        <f t="shared" si="12"/>
        <v>6.0061967345864229</v>
      </c>
      <c r="AV66">
        <f t="shared" si="12"/>
        <v>4.821574039251586</v>
      </c>
      <c r="AW66">
        <f t="shared" si="12"/>
        <v>5.1219761948853915</v>
      </c>
      <c r="AX66">
        <f t="shared" si="12"/>
        <v>3.3104732294741464</v>
      </c>
    </row>
    <row r="67" spans="1:54" x14ac:dyDescent="0.2">
      <c r="C67" s="6" t="s">
        <v>176</v>
      </c>
      <c r="D67">
        <f>D49*100/D63</f>
        <v>0.98997072352537485</v>
      </c>
      <c r="E67">
        <f t="shared" ref="E67:AX67" si="13">E49*100/E63</f>
        <v>8.2577664527603147</v>
      </c>
      <c r="F67">
        <f t="shared" si="13"/>
        <v>3.0765234558470125</v>
      </c>
      <c r="G67">
        <f t="shared" si="13"/>
        <v>2.6281924100515521</v>
      </c>
      <c r="H67">
        <f t="shared" si="13"/>
        <v>5.5484970949138255</v>
      </c>
      <c r="I67">
        <f t="shared" si="13"/>
        <v>2.0076745791626185</v>
      </c>
      <c r="J67">
        <f t="shared" si="13"/>
        <v>6.2488870101442506</v>
      </c>
      <c r="K67">
        <f t="shared" si="13"/>
        <v>2.46938520214551</v>
      </c>
      <c r="L67">
        <f t="shared" si="13"/>
        <v>2.1348334813237368</v>
      </c>
      <c r="M67">
        <f t="shared" si="13"/>
        <v>5.0284264440808073</v>
      </c>
      <c r="N67">
        <f t="shared" si="13"/>
        <v>7.7143778549079647</v>
      </c>
      <c r="P67">
        <f t="shared" si="13"/>
        <v>2.2224307808009729</v>
      </c>
      <c r="R67">
        <f t="shared" si="13"/>
        <v>4.3746118967867194</v>
      </c>
      <c r="S67">
        <f t="shared" si="13"/>
        <v>3.4598819940993222</v>
      </c>
      <c r="T67">
        <f t="shared" si="13"/>
        <v>12.63074662262119</v>
      </c>
      <c r="U67">
        <f t="shared" si="13"/>
        <v>6.94763518494159</v>
      </c>
      <c r="V67">
        <f t="shared" si="13"/>
        <v>17.425269521361347</v>
      </c>
      <c r="W67">
        <f t="shared" si="13"/>
        <v>7.1297269250966027</v>
      </c>
      <c r="X67">
        <f t="shared" si="13"/>
        <v>5.6510103047764861</v>
      </c>
      <c r="Y67">
        <f t="shared" si="13"/>
        <v>2.0451090274753132</v>
      </c>
      <c r="Z67">
        <f t="shared" si="13"/>
        <v>15.499833350267766</v>
      </c>
      <c r="AA67">
        <f t="shared" si="13"/>
        <v>4.5609665892367381</v>
      </c>
      <c r="AB67">
        <f t="shared" si="13"/>
        <v>3.2735592038205876</v>
      </c>
      <c r="AC67">
        <f t="shared" si="13"/>
        <v>1.9631265750391271</v>
      </c>
      <c r="AD67">
        <f t="shared" si="13"/>
        <v>8.1001011334599138</v>
      </c>
      <c r="AE67">
        <f t="shared" si="13"/>
        <v>7.8863051695311155</v>
      </c>
      <c r="AF67">
        <f t="shared" si="13"/>
        <v>1.5554146432573186</v>
      </c>
      <c r="AG67">
        <f t="shared" si="13"/>
        <v>4.6117899380353773</v>
      </c>
      <c r="AH67">
        <f t="shared" si="13"/>
        <v>2.0058387315732085</v>
      </c>
      <c r="AI67">
        <f t="shared" si="13"/>
        <v>3.1372256315309421</v>
      </c>
      <c r="AJ67">
        <f t="shared" si="13"/>
        <v>4.7671769081142727</v>
      </c>
      <c r="AK67">
        <f t="shared" si="13"/>
        <v>1.8314683156366287</v>
      </c>
      <c r="AL67">
        <f t="shared" si="13"/>
        <v>6.0071689746972696</v>
      </c>
      <c r="AM67">
        <f t="shared" si="13"/>
        <v>1.172764803055069</v>
      </c>
      <c r="AN67">
        <f t="shared" si="13"/>
        <v>2.1271493114930671</v>
      </c>
      <c r="AO67">
        <f t="shared" si="13"/>
        <v>4.0957776822159584</v>
      </c>
      <c r="AP67">
        <f t="shared" si="13"/>
        <v>7.1260167568922643</v>
      </c>
      <c r="AQ67">
        <f t="shared" si="13"/>
        <v>5.529878755536874</v>
      </c>
      <c r="AT67">
        <f t="shared" si="13"/>
        <v>2.7446021323654533</v>
      </c>
      <c r="AU67">
        <f t="shared" si="13"/>
        <v>10.246289039342242</v>
      </c>
      <c r="AV67">
        <f t="shared" si="13"/>
        <v>11.218034242775802</v>
      </c>
      <c r="AW67">
        <f t="shared" si="13"/>
        <v>1.5002120606916782</v>
      </c>
      <c r="AX67">
        <f t="shared" si="13"/>
        <v>0.5865807948964068</v>
      </c>
    </row>
    <row r="68" spans="1:54" x14ac:dyDescent="0.2">
      <c r="C68" t="s">
        <v>173</v>
      </c>
      <c r="D68">
        <f>D38/D40</f>
        <v>1.0144454963613836</v>
      </c>
      <c r="E68">
        <f t="shared" ref="E68:AX68" si="14">E38/E40</f>
        <v>12.838470445214289</v>
      </c>
      <c r="F68">
        <f t="shared" si="14"/>
        <v>1.8046037171151754</v>
      </c>
      <c r="G68">
        <f t="shared" si="14"/>
        <v>3.2489199987334096</v>
      </c>
      <c r="H68">
        <f t="shared" si="14"/>
        <v>6.4771250294225684</v>
      </c>
      <c r="I68">
        <f t="shared" si="14"/>
        <v>3.2641713024622652</v>
      </c>
      <c r="J68">
        <f t="shared" si="14"/>
        <v>2.7743139695622938</v>
      </c>
      <c r="K68">
        <f t="shared" si="14"/>
        <v>2.40362419090533</v>
      </c>
      <c r="L68">
        <f t="shared" si="14"/>
        <v>4.7953595423981712</v>
      </c>
      <c r="M68">
        <f t="shared" si="14"/>
        <v>4.3332518623663212</v>
      </c>
      <c r="N68">
        <f t="shared" si="14"/>
        <v>2.2548823479744953</v>
      </c>
      <c r="P68">
        <f t="shared" si="14"/>
        <v>2.3698612038399811</v>
      </c>
      <c r="R68">
        <f t="shared" si="14"/>
        <v>1.4878297592907577</v>
      </c>
      <c r="S68">
        <f t="shared" si="14"/>
        <v>5.7546882243671096</v>
      </c>
      <c r="T68">
        <f t="shared" si="14"/>
        <v>2.0819407894137631</v>
      </c>
      <c r="U68">
        <f t="shared" si="14"/>
        <v>2.9099452803879529</v>
      </c>
      <c r="V68">
        <f t="shared" si="14"/>
        <v>4.9944488455746372</v>
      </c>
      <c r="W68">
        <f t="shared" si="14"/>
        <v>4.0521324660519804</v>
      </c>
      <c r="X68">
        <f t="shared" si="14"/>
        <v>6.6310654171359129</v>
      </c>
      <c r="Y68">
        <f t="shared" si="14"/>
        <v>2.5918764216587746</v>
      </c>
      <c r="Z68">
        <f t="shared" si="14"/>
        <v>3.7668721901418714</v>
      </c>
      <c r="AA68">
        <f t="shared" si="14"/>
        <v>0.82797269408843643</v>
      </c>
      <c r="AB68">
        <f t="shared" si="14"/>
        <v>0.79871631566060608</v>
      </c>
      <c r="AC68">
        <f t="shared" si="14"/>
        <v>0.5530489635160174</v>
      </c>
      <c r="AD68">
        <f t="shared" si="14"/>
        <v>4.1694731731790755</v>
      </c>
      <c r="AE68">
        <f t="shared" si="14"/>
        <v>4.2862339903802953</v>
      </c>
      <c r="AF68">
        <f t="shared" si="14"/>
        <v>0.61045331691101068</v>
      </c>
      <c r="AG68">
        <f t="shared" si="14"/>
        <v>0.12036527017311072</v>
      </c>
      <c r="AH68">
        <f t="shared" si="14"/>
        <v>1.055215839648338</v>
      </c>
      <c r="AI68">
        <f t="shared" si="14"/>
        <v>0.4054896052023354</v>
      </c>
      <c r="AJ68">
        <f t="shared" si="14"/>
        <v>2.9093700312667501</v>
      </c>
      <c r="AK68">
        <f t="shared" si="14"/>
        <v>0.87546930851383786</v>
      </c>
      <c r="AL68">
        <f t="shared" si="14"/>
        <v>0.6552851978903983</v>
      </c>
      <c r="AM68">
        <f t="shared" si="14"/>
        <v>0.68052835198755124</v>
      </c>
      <c r="AN68">
        <f t="shared" si="14"/>
        <v>0.87819337968312172</v>
      </c>
      <c r="AO68">
        <f t="shared" si="14"/>
        <v>0.39363336731945364</v>
      </c>
      <c r="AP68">
        <f t="shared" si="14"/>
        <v>5.1275031933754329</v>
      </c>
      <c r="AQ68">
        <f t="shared" si="14"/>
        <v>0.28680613277608141</v>
      </c>
      <c r="AT68">
        <f t="shared" si="14"/>
        <v>0.5554122760841893</v>
      </c>
      <c r="AU68">
        <f t="shared" si="14"/>
        <v>2.2289293347485337</v>
      </c>
      <c r="AV68">
        <f t="shared" si="14"/>
        <v>0.33147542651046896</v>
      </c>
      <c r="AW68">
        <f t="shared" si="14"/>
        <v>1.6829919020140129</v>
      </c>
      <c r="AX68">
        <f t="shared" si="14"/>
        <v>0.17734808099963356</v>
      </c>
    </row>
    <row r="70" spans="1:54" x14ac:dyDescent="0.2">
      <c r="A70" s="1" t="s">
        <v>32</v>
      </c>
      <c r="B70" s="1"/>
      <c r="C70" s="1"/>
      <c r="D70" s="1"/>
      <c r="E70" s="1"/>
      <c r="F70" s="1"/>
    </row>
    <row r="72" spans="1:54" x14ac:dyDescent="0.2">
      <c r="D72" t="s">
        <v>46</v>
      </c>
      <c r="E72" t="s">
        <v>47</v>
      </c>
      <c r="F72" t="s">
        <v>48</v>
      </c>
      <c r="G72" t="s">
        <v>49</v>
      </c>
      <c r="H72" t="s">
        <v>50</v>
      </c>
      <c r="I72" t="s">
        <v>51</v>
      </c>
      <c r="J72" t="s">
        <v>52</v>
      </c>
      <c r="K72" t="s">
        <v>53</v>
      </c>
      <c r="L72" t="s">
        <v>54</v>
      </c>
      <c r="M72" t="s">
        <v>55</v>
      </c>
      <c r="N72" t="s">
        <v>56</v>
      </c>
      <c r="P72" t="s">
        <v>57</v>
      </c>
      <c r="R72" t="s">
        <v>58</v>
      </c>
      <c r="S72" t="s">
        <v>59</v>
      </c>
      <c r="T72" t="s">
        <v>60</v>
      </c>
      <c r="U72" t="s">
        <v>61</v>
      </c>
      <c r="V72" t="s">
        <v>62</v>
      </c>
      <c r="W72" t="s">
        <v>63</v>
      </c>
      <c r="X72" t="s">
        <v>64</v>
      </c>
      <c r="Y72" t="s">
        <v>65</v>
      </c>
      <c r="Z72" t="s">
        <v>66</v>
      </c>
      <c r="AA72" t="s">
        <v>67</v>
      </c>
      <c r="AB72" t="s">
        <v>68</v>
      </c>
      <c r="AC72" t="s">
        <v>69</v>
      </c>
      <c r="AD72" t="s">
        <v>70</v>
      </c>
      <c r="AE72" t="s">
        <v>71</v>
      </c>
      <c r="AF72" t="s">
        <v>72</v>
      </c>
      <c r="AG72" t="s">
        <v>73</v>
      </c>
      <c r="AH72" t="s">
        <v>74</v>
      </c>
      <c r="AI72" t="s">
        <v>75</v>
      </c>
      <c r="AJ72" t="s">
        <v>76</v>
      </c>
      <c r="AK72" t="s">
        <v>77</v>
      </c>
      <c r="AL72" t="s">
        <v>78</v>
      </c>
      <c r="AM72" t="s">
        <v>79</v>
      </c>
      <c r="AN72" t="s">
        <v>80</v>
      </c>
      <c r="AO72" t="s">
        <v>81</v>
      </c>
      <c r="AP72" t="s">
        <v>82</v>
      </c>
      <c r="AQ72" t="s">
        <v>83</v>
      </c>
      <c r="AT72" t="s">
        <v>84</v>
      </c>
      <c r="AU72" t="s">
        <v>85</v>
      </c>
      <c r="AV72" t="s">
        <v>86</v>
      </c>
      <c r="AW72" t="s">
        <v>87</v>
      </c>
      <c r="AX72" t="s">
        <v>88</v>
      </c>
      <c r="AY72" t="s">
        <v>20</v>
      </c>
      <c r="AZ72" t="s">
        <v>21</v>
      </c>
      <c r="BA72" t="s">
        <v>22</v>
      </c>
      <c r="BB72" t="s">
        <v>23</v>
      </c>
    </row>
    <row r="73" spans="1:54" x14ac:dyDescent="0.2">
      <c r="A73" t="s">
        <v>37</v>
      </c>
      <c r="B73" t="s">
        <v>158</v>
      </c>
      <c r="C73" t="s">
        <v>0</v>
      </c>
      <c r="D73" t="s">
        <v>90</v>
      </c>
      <c r="E73" t="s">
        <v>90</v>
      </c>
      <c r="F73" t="s">
        <v>90</v>
      </c>
      <c r="G73" t="s">
        <v>90</v>
      </c>
      <c r="H73" t="s">
        <v>90</v>
      </c>
      <c r="I73" t="s">
        <v>90</v>
      </c>
      <c r="J73" t="s">
        <v>90</v>
      </c>
      <c r="K73" t="s">
        <v>90</v>
      </c>
      <c r="L73" t="s">
        <v>90</v>
      </c>
      <c r="M73" t="s">
        <v>90</v>
      </c>
      <c r="N73" t="s">
        <v>90</v>
      </c>
      <c r="P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3</v>
      </c>
      <c r="AO73" t="s">
        <v>3</v>
      </c>
      <c r="AP73" t="s">
        <v>3</v>
      </c>
      <c r="AQ73" t="s">
        <v>3</v>
      </c>
      <c r="AT73" t="s">
        <v>3</v>
      </c>
      <c r="AU73" t="s">
        <v>3</v>
      </c>
      <c r="AV73" t="s">
        <v>3</v>
      </c>
      <c r="AW73" t="s">
        <v>3</v>
      </c>
      <c r="AX73" t="s">
        <v>3</v>
      </c>
      <c r="AY73" t="s">
        <v>2</v>
      </c>
      <c r="AZ73" t="s">
        <v>2</v>
      </c>
      <c r="BA73" t="s">
        <v>2</v>
      </c>
      <c r="BB73" t="s">
        <v>2</v>
      </c>
    </row>
    <row r="74" spans="1:54" x14ac:dyDescent="0.2">
      <c r="A74" t="s">
        <v>39</v>
      </c>
      <c r="B74" t="s">
        <v>160</v>
      </c>
      <c r="C74" t="s">
        <v>5</v>
      </c>
      <c r="D74">
        <v>1.98253916498297</v>
      </c>
      <c r="E74">
        <v>0.46840775159326897</v>
      </c>
      <c r="F74">
        <v>1.1656586343528601</v>
      </c>
      <c r="G74">
        <v>1.5150707666505401</v>
      </c>
      <c r="H74">
        <v>0.95855989840457401</v>
      </c>
      <c r="I74">
        <v>0.62797269677318301</v>
      </c>
      <c r="J74">
        <v>1.42177128967122</v>
      </c>
      <c r="K74">
        <v>1.6252162489954001</v>
      </c>
      <c r="L74">
        <v>1.60865732321312</v>
      </c>
      <c r="M74">
        <v>0.75165670281771901</v>
      </c>
      <c r="N74">
        <v>0.97714884890876996</v>
      </c>
      <c r="P74">
        <v>1.36891526912914</v>
      </c>
      <c r="R74">
        <v>0.76250792713652404</v>
      </c>
      <c r="S74">
        <v>1.4420319235151899</v>
      </c>
      <c r="T74">
        <v>1.0969775344549</v>
      </c>
      <c r="U74">
        <v>2.17793033397865</v>
      </c>
      <c r="V74">
        <v>-0.17882642484009101</v>
      </c>
      <c r="W74">
        <v>0.83373940747737396</v>
      </c>
      <c r="X74">
        <v>1.1368692486576</v>
      </c>
      <c r="Y74">
        <v>1.05283983562767</v>
      </c>
      <c r="Z74">
        <v>1.0561118429748599</v>
      </c>
      <c r="AA74">
        <v>1.55717330965812</v>
      </c>
      <c r="AB74">
        <v>-1.1000622856572499</v>
      </c>
      <c r="AC74">
        <v>-2.2151590133607399</v>
      </c>
      <c r="AD74">
        <v>-0.113363127799833</v>
      </c>
      <c r="AE74">
        <v>0.65961806966641201</v>
      </c>
      <c r="AF74">
        <v>0.47463510861606301</v>
      </c>
      <c r="AG74">
        <v>-3.5924911817808001</v>
      </c>
      <c r="AH74">
        <v>-1.56530518368361</v>
      </c>
      <c r="AI74">
        <v>-2.4149164624365498</v>
      </c>
      <c r="AJ74">
        <v>-0.40330776049972</v>
      </c>
      <c r="AK74">
        <v>-0.74465953915176797</v>
      </c>
      <c r="AL74">
        <v>-1.5375794855454601</v>
      </c>
      <c r="AM74">
        <v>-0.59840830668660405</v>
      </c>
      <c r="AN74">
        <v>-0.87853322026626501</v>
      </c>
      <c r="AO74">
        <v>-3.6781389665739601</v>
      </c>
      <c r="AP74">
        <v>-3.0402554185407101E-2</v>
      </c>
      <c r="AQ74">
        <v>-2.9433181371560502</v>
      </c>
      <c r="AT74">
        <v>-1.75049167456371</v>
      </c>
      <c r="AU74">
        <v>-0.91319466401290394</v>
      </c>
      <c r="AV74">
        <v>-2.1683778238771598</v>
      </c>
      <c r="AW74">
        <v>-0.85067883625198504</v>
      </c>
      <c r="AX74">
        <v>-2.56845214219741</v>
      </c>
      <c r="AY74">
        <v>1.0766370921294799</v>
      </c>
      <c r="AZ74">
        <v>0.81866498700510704</v>
      </c>
      <c r="BA74">
        <v>0.80839524285160502</v>
      </c>
      <c r="BB74">
        <v>0.81996033128496504</v>
      </c>
    </row>
    <row r="75" spans="1:54" x14ac:dyDescent="0.2">
      <c r="A75" t="s">
        <v>39</v>
      </c>
      <c r="B75" t="s">
        <v>160</v>
      </c>
      <c r="C75" t="s">
        <v>6</v>
      </c>
      <c r="D75">
        <v>2.6351604614034199</v>
      </c>
      <c r="E75">
        <v>0.177159003011643</v>
      </c>
      <c r="F75">
        <v>1.31574650698339</v>
      </c>
      <c r="G75">
        <v>1.3215098347133101</v>
      </c>
      <c r="H75">
        <v>0.84896458618854698</v>
      </c>
      <c r="I75">
        <v>0.54560875050444801</v>
      </c>
      <c r="J75">
        <v>1.6299923273744801</v>
      </c>
      <c r="K75">
        <v>2.0052680034682302</v>
      </c>
      <c r="L75">
        <v>1.91690982827621</v>
      </c>
      <c r="M75">
        <v>1.0328379217700601</v>
      </c>
      <c r="N75">
        <v>0.436095806080806</v>
      </c>
      <c r="P75">
        <v>1.31628804346414</v>
      </c>
      <c r="R75">
        <v>0.50755323197917102</v>
      </c>
      <c r="S75">
        <v>1.6901634363934099</v>
      </c>
      <c r="T75">
        <v>1.11307665851226</v>
      </c>
      <c r="U75">
        <v>1.8142852751524501</v>
      </c>
      <c r="V75">
        <v>-0.97191379038929904</v>
      </c>
      <c r="W75">
        <v>-2.9217270305583201E-2</v>
      </c>
      <c r="X75">
        <v>0.33916793218055102</v>
      </c>
      <c r="Y75">
        <v>-0.29477554342489198</v>
      </c>
      <c r="Z75">
        <v>0.62530621383667695</v>
      </c>
      <c r="AA75">
        <v>1.13777329292241</v>
      </c>
      <c r="AB75">
        <v>-1.5267798549183</v>
      </c>
      <c r="AC75">
        <v>-2.9219002041956799</v>
      </c>
      <c r="AD75">
        <v>-0.16313732858840199</v>
      </c>
      <c r="AE75">
        <v>0.82282939686277101</v>
      </c>
      <c r="AF75">
        <v>0.74456562892517897</v>
      </c>
      <c r="AG75">
        <v>-2.24231142526203</v>
      </c>
      <c r="AH75">
        <v>-1.7521069332088199</v>
      </c>
      <c r="AI75">
        <v>-2.2176654635200399</v>
      </c>
      <c r="AJ75">
        <v>-0.542523863635477</v>
      </c>
      <c r="AK75">
        <v>-0.39944890125332699</v>
      </c>
      <c r="AL75">
        <v>-0.69802500057368799</v>
      </c>
      <c r="AM75">
        <v>-1.81638036401636</v>
      </c>
      <c r="AN75">
        <v>-0.64021847796395903</v>
      </c>
      <c r="AO75">
        <v>-2.0004568168260599</v>
      </c>
      <c r="AP75">
        <v>-1.4321414324131601</v>
      </c>
      <c r="AQ75">
        <v>-1.3550531486769299</v>
      </c>
      <c r="AT75">
        <v>-0.64088344314823698</v>
      </c>
      <c r="AU75">
        <v>-0.75393399986721299</v>
      </c>
      <c r="AV75">
        <v>-1.48993018493245</v>
      </c>
      <c r="AW75">
        <v>-1.38944115917773</v>
      </c>
      <c r="AX75">
        <v>-2.0241787710939501</v>
      </c>
      <c r="AY75">
        <v>0.60762345227164705</v>
      </c>
      <c r="AZ75">
        <v>0.59230624005289001</v>
      </c>
      <c r="BA75">
        <v>1.52748574027416</v>
      </c>
      <c r="BB75">
        <v>0.59874580478932504</v>
      </c>
    </row>
    <row r="76" spans="1:54" x14ac:dyDescent="0.2">
      <c r="A76" t="s">
        <v>39</v>
      </c>
      <c r="B76" t="s">
        <v>160</v>
      </c>
      <c r="C76" t="s">
        <v>7</v>
      </c>
      <c r="D76">
        <v>1.6864653996363601</v>
      </c>
      <c r="E76">
        <v>0.39155284496721099</v>
      </c>
      <c r="F76">
        <v>1.01133273751504</v>
      </c>
      <c r="G76">
        <v>1.23906435622564</v>
      </c>
      <c r="H76">
        <v>0.83242481323047501</v>
      </c>
      <c r="I76">
        <v>0.50939844878187401</v>
      </c>
      <c r="J76">
        <v>1.2962100791887099</v>
      </c>
      <c r="K76">
        <v>1.1152362332475301</v>
      </c>
      <c r="L76">
        <v>1.4318084201025101</v>
      </c>
      <c r="M76">
        <v>0.88733233963723401</v>
      </c>
      <c r="N76">
        <v>0.79516377537067295</v>
      </c>
      <c r="P76">
        <v>1.0067449148541101</v>
      </c>
      <c r="R76">
        <v>0.86607636516681596</v>
      </c>
      <c r="S76">
        <v>0.90567554995967703</v>
      </c>
      <c r="T76">
        <v>1.05537648009201</v>
      </c>
      <c r="U76">
        <v>1.9217768273289599</v>
      </c>
      <c r="V76">
        <v>-0.43640069070644899</v>
      </c>
      <c r="W76">
        <v>0.607506840882856</v>
      </c>
      <c r="X76">
        <v>0.52996519578260004</v>
      </c>
      <c r="Y76">
        <v>0.7428807848301</v>
      </c>
      <c r="Z76">
        <v>0.70424111352038699</v>
      </c>
      <c r="AA76">
        <v>1.0022861083919301</v>
      </c>
      <c r="AB76">
        <v>-1.2543311203296701</v>
      </c>
      <c r="AC76">
        <v>-1.9887263106329001</v>
      </c>
      <c r="AD76">
        <v>0.24311587779991001</v>
      </c>
      <c r="AE76">
        <v>1.29042459752711</v>
      </c>
      <c r="AF76">
        <v>0.84790058472784302</v>
      </c>
      <c r="AG76">
        <v>-3.3605845669724799</v>
      </c>
      <c r="AH76">
        <v>-0.73900477645053297</v>
      </c>
      <c r="AI76">
        <v>-1.8762310210100099</v>
      </c>
      <c r="AJ76">
        <v>-0.29194025078298202</v>
      </c>
      <c r="AK76">
        <v>1.5077641432891699E-2</v>
      </c>
      <c r="AL76">
        <v>-1.08018692952411</v>
      </c>
      <c r="AM76">
        <v>-0.14671581504052</v>
      </c>
      <c r="AN76">
        <v>-0.47846905911829402</v>
      </c>
      <c r="AO76">
        <v>-3.2007738644065502</v>
      </c>
      <c r="AP76">
        <v>0.115580034422735</v>
      </c>
      <c r="AQ76">
        <v>-3.3973409522527902</v>
      </c>
      <c r="AT76">
        <v>-1.8584296318751701</v>
      </c>
      <c r="AU76">
        <v>-0.449047498465175</v>
      </c>
      <c r="AV76">
        <v>-2.6338303760860802</v>
      </c>
      <c r="AW76">
        <v>-0.35695534226430198</v>
      </c>
      <c r="AX76">
        <v>-2.32875970210852</v>
      </c>
      <c r="AY76">
        <v>0.65449781396602702</v>
      </c>
      <c r="AZ76">
        <v>0.71325892743489605</v>
      </c>
      <c r="BA76">
        <v>0.69963095174961498</v>
      </c>
      <c r="BB76">
        <v>0.75972185025279704</v>
      </c>
    </row>
    <row r="77" spans="1:54" x14ac:dyDescent="0.2">
      <c r="A77" t="s">
        <v>38</v>
      </c>
      <c r="B77" t="s">
        <v>160</v>
      </c>
      <c r="C77" t="s">
        <v>13</v>
      </c>
      <c r="D77">
        <v>1.3645548856963701</v>
      </c>
      <c r="E77">
        <v>0.11688800670275</v>
      </c>
      <c r="F77">
        <v>0.51051388901025796</v>
      </c>
      <c r="G77">
        <v>1.3251433925788401</v>
      </c>
      <c r="H77">
        <v>0.33134195449993697</v>
      </c>
      <c r="I77">
        <v>0.71311948204362097</v>
      </c>
      <c r="J77">
        <v>0.94362293086671301</v>
      </c>
      <c r="K77">
        <v>1.34045010833695</v>
      </c>
      <c r="L77">
        <v>1.84400124877821</v>
      </c>
      <c r="M77">
        <v>0.60564265294135</v>
      </c>
      <c r="N77">
        <v>0.74141337657970996</v>
      </c>
      <c r="P77">
        <v>0.70264643346898903</v>
      </c>
      <c r="R77">
        <v>0.59091206175085498</v>
      </c>
      <c r="S77">
        <v>0.36371756528712401</v>
      </c>
      <c r="T77">
        <v>0.35377966828610402</v>
      </c>
      <c r="U77">
        <v>1.5341075506334201</v>
      </c>
      <c r="V77">
        <v>0.15980373265730999</v>
      </c>
      <c r="W77">
        <v>0.60010099095180003</v>
      </c>
      <c r="X77">
        <v>0.33593193143980299</v>
      </c>
      <c r="Y77">
        <v>1.0067244230705801</v>
      </c>
      <c r="Z77">
        <v>0.302712221293304</v>
      </c>
      <c r="AA77">
        <v>1.3516989510013699</v>
      </c>
      <c r="AB77">
        <v>-1.29853921028497</v>
      </c>
      <c r="AC77">
        <v>-1.79799723268171</v>
      </c>
      <c r="AD77">
        <v>0.64753963984810303</v>
      </c>
      <c r="AE77">
        <v>1.16681535748383</v>
      </c>
      <c r="AF77">
        <v>0.18425115141069501</v>
      </c>
      <c r="AG77">
        <v>-3.3984389990525301</v>
      </c>
      <c r="AH77">
        <v>-0.28360073096579103</v>
      </c>
      <c r="AI77">
        <v>-1.83247816291884</v>
      </c>
      <c r="AJ77">
        <v>-0.164727412466975</v>
      </c>
      <c r="AK77">
        <v>0.114063249266463</v>
      </c>
      <c r="AL77">
        <v>-1.4273120494510501</v>
      </c>
      <c r="AM77">
        <v>0.31286296452301998</v>
      </c>
      <c r="AN77">
        <v>-0.20345989519876101</v>
      </c>
      <c r="AO77">
        <v>-2.9402149591621001</v>
      </c>
      <c r="AP77">
        <v>-0.99610494217852996</v>
      </c>
      <c r="AQ77">
        <v>-2.98421280756952</v>
      </c>
      <c r="AT77">
        <v>-0.97137463510145505</v>
      </c>
      <c r="AU77">
        <v>-0.29508185343042898</v>
      </c>
      <c r="AV77">
        <v>-1.23882311800004</v>
      </c>
      <c r="AW77">
        <v>1.5855018781590601E-4</v>
      </c>
      <c r="AX77">
        <v>-1.59081917751108</v>
      </c>
      <c r="AY77">
        <v>0.42282948528373199</v>
      </c>
      <c r="AZ77">
        <v>0.43181175769619301</v>
      </c>
      <c r="BA77">
        <v>0.38056982692330499</v>
      </c>
      <c r="BB77">
        <v>0.62345574547525695</v>
      </c>
    </row>
    <row r="78" spans="1:54" x14ac:dyDescent="0.2">
      <c r="A78" t="s">
        <v>38</v>
      </c>
      <c r="B78" t="s">
        <v>160</v>
      </c>
      <c r="C78" t="s">
        <v>8</v>
      </c>
      <c r="D78">
        <v>2.6948632796814298</v>
      </c>
      <c r="E78">
        <v>-2.1429719522927</v>
      </c>
      <c r="F78">
        <v>1.12915193285274</v>
      </c>
      <c r="G78">
        <v>0.65591282834702402</v>
      </c>
      <c r="H78">
        <v>-0.72623054506051099</v>
      </c>
      <c r="I78">
        <v>-0.24537953654258701</v>
      </c>
      <c r="J78">
        <v>0.928179936976676</v>
      </c>
      <c r="K78">
        <v>0.88972257579320002</v>
      </c>
      <c r="L78">
        <v>0.39403962365795397</v>
      </c>
      <c r="M78">
        <v>-0.144319221043334</v>
      </c>
      <c r="N78">
        <v>0.57876636481496002</v>
      </c>
      <c r="P78">
        <v>0.77471254294702996</v>
      </c>
      <c r="R78">
        <v>1.1980076183958099</v>
      </c>
      <c r="S78">
        <v>-0.48496720931127701</v>
      </c>
      <c r="T78">
        <v>1.00019347760626</v>
      </c>
      <c r="U78">
        <v>1.63464869890636</v>
      </c>
      <c r="V78">
        <v>-1.9503176216031</v>
      </c>
      <c r="W78">
        <v>-0.40180255340768201</v>
      </c>
      <c r="X78">
        <v>-1.1274148936744499</v>
      </c>
      <c r="Y78">
        <v>0.336319932893485</v>
      </c>
      <c r="Z78">
        <v>-0.189666143995849</v>
      </c>
      <c r="AA78">
        <v>2.1153846516806301</v>
      </c>
      <c r="AB78">
        <v>-0.60742626114822995</v>
      </c>
      <c r="AC78">
        <v>-1.0380203064462199</v>
      </c>
      <c r="AD78">
        <v>-0.885450673052389</v>
      </c>
      <c r="AE78">
        <v>0.36423890631142303</v>
      </c>
      <c r="AF78">
        <v>2.3160956127307002</v>
      </c>
      <c r="AG78">
        <v>-0.76926913320730095</v>
      </c>
      <c r="AH78">
        <v>-0.331619011581265</v>
      </c>
      <c r="AI78">
        <v>-0.50271373477644798</v>
      </c>
      <c r="AJ78">
        <v>-1.08132089441734</v>
      </c>
      <c r="AK78">
        <v>0.83268060086296303</v>
      </c>
      <c r="AL78">
        <v>-0.14037850155212001</v>
      </c>
      <c r="AM78">
        <v>0.95660138254854998</v>
      </c>
      <c r="AN78">
        <v>0.223123752929236</v>
      </c>
      <c r="AO78">
        <v>-2.0899369635195399</v>
      </c>
      <c r="AP78">
        <v>-1.30669502232637</v>
      </c>
      <c r="AQ78">
        <v>-1.92583328144458</v>
      </c>
      <c r="AT78">
        <v>-0.88360519316554498</v>
      </c>
      <c r="AU78">
        <v>-0.93305745878651403</v>
      </c>
      <c r="AV78">
        <v>-1.17429579551523</v>
      </c>
      <c r="AW78">
        <v>-0.460423805806565</v>
      </c>
      <c r="AX78">
        <v>6.38845103570989E-4</v>
      </c>
      <c r="AY78">
        <v>0.49888812853207498</v>
      </c>
      <c r="AZ78">
        <v>0.49386502484220601</v>
      </c>
      <c r="BA78">
        <v>0.53976757297371103</v>
      </c>
      <c r="BB78">
        <v>0.98731242228914395</v>
      </c>
    </row>
    <row r="79" spans="1:54" x14ac:dyDescent="0.2">
      <c r="A79" t="s">
        <v>38</v>
      </c>
      <c r="B79" t="s">
        <v>160</v>
      </c>
      <c r="C79" t="s">
        <v>14</v>
      </c>
      <c r="D79">
        <v>1.70507691477669</v>
      </c>
      <c r="E79">
        <v>0.130908668118107</v>
      </c>
      <c r="F79">
        <v>0.63185594425304403</v>
      </c>
      <c r="G79">
        <v>1.06343193459978</v>
      </c>
      <c r="H79">
        <v>-2.2137238971757699E-2</v>
      </c>
      <c r="I79">
        <v>0.36368985265241699</v>
      </c>
      <c r="J79">
        <v>0.77059153949899395</v>
      </c>
      <c r="K79">
        <v>0.69816840248063905</v>
      </c>
      <c r="L79">
        <v>1.29652642673539</v>
      </c>
      <c r="M79">
        <v>0.591256468766437</v>
      </c>
      <c r="N79">
        <v>0.63975824163519601</v>
      </c>
      <c r="P79">
        <v>0.899829166089537</v>
      </c>
      <c r="R79">
        <v>0.87827775657595497</v>
      </c>
      <c r="S79">
        <v>0.43655430257934402</v>
      </c>
      <c r="T79">
        <v>0.89257555672681799</v>
      </c>
      <c r="U79">
        <v>1.1653843092263201</v>
      </c>
      <c r="V79">
        <v>-0.50834514609663595</v>
      </c>
      <c r="W79">
        <v>-0.28193615389308802</v>
      </c>
      <c r="X79">
        <v>0.64084665402973895</v>
      </c>
      <c r="Y79">
        <v>0.30122989213177398</v>
      </c>
      <c r="Z79">
        <v>0.20042892985055499</v>
      </c>
      <c r="AA79">
        <v>0.81764427986630595</v>
      </c>
      <c r="AB79">
        <v>-1.0847619261606301</v>
      </c>
      <c r="AC79">
        <v>-1.8117505352538299</v>
      </c>
      <c r="AD79">
        <v>0.58184374850694498</v>
      </c>
      <c r="AE79">
        <v>0.41366476813108499</v>
      </c>
      <c r="AF79">
        <v>0.54609716032423306</v>
      </c>
      <c r="AG79">
        <v>-2.27496259024295</v>
      </c>
      <c r="AH79">
        <v>-0.13106722393572401</v>
      </c>
      <c r="AI79">
        <v>-1.83138335003924</v>
      </c>
      <c r="AJ79">
        <v>0.19804997794813001</v>
      </c>
      <c r="AK79">
        <v>0.24302150304435199</v>
      </c>
      <c r="AL79">
        <v>-1.4487921738785801</v>
      </c>
      <c r="AM79">
        <v>0.37897044470271501</v>
      </c>
      <c r="AN79">
        <v>-3.8552170947503399E-2</v>
      </c>
      <c r="AO79">
        <v>-2.8898704322796802</v>
      </c>
      <c r="AP79">
        <v>-0.17814807684647099</v>
      </c>
      <c r="AQ79">
        <v>-2.7436635169550398</v>
      </c>
      <c r="AT79">
        <v>-1.31924170781145</v>
      </c>
      <c r="AU79">
        <v>6.2933544554478194E-2</v>
      </c>
      <c r="AV79">
        <v>-1.4245351911061399</v>
      </c>
      <c r="AW79">
        <v>0.41212816196350599</v>
      </c>
      <c r="AX79">
        <v>-1.3901174940054299</v>
      </c>
      <c r="AY79">
        <v>0.67606909916678304</v>
      </c>
      <c r="AZ79">
        <v>0.79861945982252402</v>
      </c>
      <c r="BA79">
        <v>0.56179111304162099</v>
      </c>
      <c r="BB79">
        <v>0.382040706624724</v>
      </c>
    </row>
    <row r="80" spans="1:54" x14ac:dyDescent="0.2">
      <c r="A80" t="s">
        <v>39</v>
      </c>
      <c r="B80" t="s">
        <v>159</v>
      </c>
      <c r="C80" t="s">
        <v>9</v>
      </c>
      <c r="D80">
        <v>2.22785733795744</v>
      </c>
      <c r="E80">
        <v>-0.889045320881931</v>
      </c>
      <c r="F80">
        <v>-1.01787154348729</v>
      </c>
      <c r="G80">
        <v>7.04891675968002E-3</v>
      </c>
      <c r="H80">
        <v>-0.103733471837493</v>
      </c>
      <c r="I80">
        <v>-2.9437548760498498E-2</v>
      </c>
      <c r="J80">
        <v>-0.32285448972192798</v>
      </c>
      <c r="K80">
        <v>-0.39334095022195997</v>
      </c>
      <c r="L80">
        <v>0.361021797356052</v>
      </c>
      <c r="M80">
        <v>-1.0107339727571101</v>
      </c>
      <c r="N80">
        <v>-0.70548383104316303</v>
      </c>
      <c r="P80">
        <v>-0.361805277147419</v>
      </c>
      <c r="R80">
        <v>0.55422906698262797</v>
      </c>
      <c r="S80">
        <v>1.53575431037082</v>
      </c>
      <c r="T80">
        <v>-5.10595208990135E-2</v>
      </c>
      <c r="U80">
        <v>0.62990171104652504</v>
      </c>
      <c r="V80">
        <v>-1.9086134737677101</v>
      </c>
      <c r="W80">
        <v>-1.39712401757328</v>
      </c>
      <c r="X80">
        <v>0.20476006732569099</v>
      </c>
      <c r="Y80">
        <v>0.50215276876081105</v>
      </c>
      <c r="Z80">
        <v>-0.75688861727990198</v>
      </c>
      <c r="AA80">
        <v>2.0377340175889902</v>
      </c>
      <c r="AB80">
        <v>-1.27653866274192</v>
      </c>
      <c r="AC80">
        <v>-1.5465359600936901</v>
      </c>
      <c r="AD80">
        <v>0.94138146446385496</v>
      </c>
      <c r="AE80">
        <v>-0.99180555499554302</v>
      </c>
      <c r="AF80">
        <v>1.94762574260323</v>
      </c>
      <c r="AG80">
        <v>0.24032757866415999</v>
      </c>
      <c r="AH80">
        <v>-0.16967855530797099</v>
      </c>
      <c r="AI80">
        <v>0.58815652117002704</v>
      </c>
      <c r="AJ80">
        <v>-2.2224262892570699</v>
      </c>
      <c r="AK80">
        <v>1.5121274917426299</v>
      </c>
      <c r="AL80">
        <v>0.93503299543547402</v>
      </c>
      <c r="AM80">
        <v>-1.8634612304543401</v>
      </c>
      <c r="AN80">
        <v>-0.28604253692590897</v>
      </c>
      <c r="AO80">
        <v>1.5053704237463601</v>
      </c>
      <c r="AP80">
        <v>-2.4162012914366602</v>
      </c>
      <c r="AQ80">
        <v>0.106402775800112</v>
      </c>
      <c r="AT80">
        <v>2.4893958302357002</v>
      </c>
      <c r="AU80">
        <v>-1.23581461403219</v>
      </c>
      <c r="AV80">
        <v>4.9051724275947801E-3</v>
      </c>
      <c r="AW80">
        <v>0.57080764580253895</v>
      </c>
      <c r="AX80">
        <v>0.35966025565819298</v>
      </c>
      <c r="AY80">
        <v>0.324283942698887</v>
      </c>
      <c r="AZ80">
        <v>0.350503864606167</v>
      </c>
      <c r="BA80">
        <v>0.34473161895916199</v>
      </c>
      <c r="BB80">
        <v>0.67532341246126604</v>
      </c>
    </row>
    <row r="81" spans="1:54" x14ac:dyDescent="0.2">
      <c r="A81" t="s">
        <v>39</v>
      </c>
      <c r="B81" t="s">
        <v>159</v>
      </c>
      <c r="C81" t="s">
        <v>10</v>
      </c>
      <c r="D81">
        <v>3.5390035025184701</v>
      </c>
      <c r="E81">
        <v>-0.91566256200012897</v>
      </c>
      <c r="F81">
        <v>-0.18866998919316799</v>
      </c>
      <c r="G81">
        <v>0.96537342674853199</v>
      </c>
      <c r="H81">
        <v>-5.1537920324177297E-2</v>
      </c>
      <c r="I81">
        <v>-6.4408844379370001E-2</v>
      </c>
      <c r="J81">
        <v>1.52901370192286</v>
      </c>
      <c r="K81">
        <v>1.3714409502156</v>
      </c>
      <c r="L81">
        <v>1.0534368063972199</v>
      </c>
      <c r="M81">
        <v>0.88332839043078903</v>
      </c>
      <c r="N81">
        <v>-0.34717754056321498</v>
      </c>
      <c r="P81">
        <v>0.69997711580794397</v>
      </c>
      <c r="R81">
        <v>-7.0494648471309707E-2</v>
      </c>
      <c r="S81">
        <v>0.62603785132401102</v>
      </c>
      <c r="T81">
        <v>0.41066877516811201</v>
      </c>
      <c r="U81">
        <v>1.0752670800091999</v>
      </c>
      <c r="V81">
        <v>-1.5137321082267301</v>
      </c>
      <c r="W81">
        <v>-1.4423437075830301</v>
      </c>
      <c r="X81">
        <v>-0.14725351117569499</v>
      </c>
      <c r="Y81">
        <v>1.10014596683996</v>
      </c>
      <c r="Z81">
        <v>-0.47123429516592202</v>
      </c>
      <c r="AA81">
        <v>1.89380429146695</v>
      </c>
      <c r="AB81">
        <v>-1.0586880395240399</v>
      </c>
      <c r="AC81">
        <v>-2.8872257189752002</v>
      </c>
      <c r="AD81">
        <v>5.6319277689903899E-2</v>
      </c>
      <c r="AE81">
        <v>5.5533137230115E-2</v>
      </c>
      <c r="AF81">
        <v>1.98706674708711</v>
      </c>
      <c r="AG81">
        <v>-1.5688826304421499</v>
      </c>
      <c r="AH81">
        <v>-0.66953888216690305</v>
      </c>
      <c r="AI81">
        <v>-0.81397644036018102</v>
      </c>
      <c r="AJ81">
        <v>-0.56309902328873296</v>
      </c>
      <c r="AK81">
        <v>1.11681356399651</v>
      </c>
      <c r="AL81">
        <v>-0.778291956696614</v>
      </c>
      <c r="AM81">
        <v>-0.26978297691004699</v>
      </c>
      <c r="AN81">
        <v>-0.86635204874386695</v>
      </c>
      <c r="AO81">
        <v>-1.21942113724038</v>
      </c>
      <c r="AP81">
        <v>-1.4936821161596601</v>
      </c>
      <c r="AQ81">
        <v>-1.7121427932886899</v>
      </c>
      <c r="AT81">
        <v>-7.2178834736083206E-2</v>
      </c>
      <c r="AU81">
        <v>-0.81776518097517903</v>
      </c>
      <c r="AV81">
        <v>-1.24685336567092</v>
      </c>
      <c r="AW81">
        <v>0.70046096441752903</v>
      </c>
      <c r="AX81">
        <v>-0.46178872869488802</v>
      </c>
      <c r="AY81">
        <v>0.57501123065439996</v>
      </c>
      <c r="AZ81">
        <v>0.64356932626806096</v>
      </c>
      <c r="BA81">
        <v>0.45382561936751997</v>
      </c>
      <c r="BB81">
        <v>0.97608727539548001</v>
      </c>
    </row>
    <row r="82" spans="1:54" x14ac:dyDescent="0.2">
      <c r="A82" t="s">
        <v>39</v>
      </c>
      <c r="B82" t="s">
        <v>159</v>
      </c>
      <c r="C82" t="s">
        <v>15</v>
      </c>
      <c r="D82">
        <v>2.9257572528699201</v>
      </c>
      <c r="E82">
        <v>-7.7574307153480307E-2</v>
      </c>
      <c r="F82">
        <v>-0.23241176570134001</v>
      </c>
      <c r="G82">
        <v>1.07459718672049</v>
      </c>
      <c r="H82">
        <v>-8.1096970500267193E-2</v>
      </c>
      <c r="I82">
        <v>-0.63779448120235005</v>
      </c>
      <c r="J82">
        <v>1.5523688224363199</v>
      </c>
      <c r="K82">
        <v>0.226907990839538</v>
      </c>
      <c r="L82">
        <v>0.60684649629264698</v>
      </c>
      <c r="M82">
        <v>0.69175687650377804</v>
      </c>
      <c r="N82">
        <v>-0.44456658508087699</v>
      </c>
      <c r="P82">
        <v>0.87703968676359501</v>
      </c>
      <c r="R82">
        <v>0.170244531786131</v>
      </c>
      <c r="S82">
        <v>2.0938666732582498</v>
      </c>
      <c r="T82">
        <v>0.30606981169599801</v>
      </c>
      <c r="U82">
        <v>1.36160857850869</v>
      </c>
      <c r="V82">
        <v>-1.70684676846165</v>
      </c>
      <c r="W82">
        <v>-2.1817465270927001</v>
      </c>
      <c r="X82">
        <v>0.58082144771256805</v>
      </c>
      <c r="Y82">
        <v>-7.9777060627115301E-2</v>
      </c>
      <c r="Z82">
        <v>-0.305561935350111</v>
      </c>
      <c r="AA82">
        <v>1.9211626712621701</v>
      </c>
      <c r="AB82">
        <v>-1.37644309121014</v>
      </c>
      <c r="AC82">
        <v>-1.7635500127475801</v>
      </c>
      <c r="AD82">
        <v>-0.26022358433075199</v>
      </c>
      <c r="AE82">
        <v>-0.48392498916689902</v>
      </c>
      <c r="AF82">
        <v>2.8757884442021302</v>
      </c>
      <c r="AG82">
        <v>-0.87584728118202104</v>
      </c>
      <c r="AH82">
        <v>-1.56439228875935</v>
      </c>
      <c r="AI82">
        <v>-0.18952978351692901</v>
      </c>
      <c r="AJ82">
        <v>-0.87478137934609301</v>
      </c>
      <c r="AK82">
        <v>1.27238689904784</v>
      </c>
      <c r="AL82">
        <v>3.2446211464407897E-2</v>
      </c>
      <c r="AM82">
        <v>-1.20460924694502</v>
      </c>
      <c r="AN82">
        <v>-0.44405312987708601</v>
      </c>
      <c r="AO82">
        <v>0.24827438578168501</v>
      </c>
      <c r="AP82">
        <v>-1.58945171786057</v>
      </c>
      <c r="AQ82">
        <v>-0.74029895950168401</v>
      </c>
      <c r="AT82">
        <v>1.32274857768173</v>
      </c>
      <c r="AU82">
        <v>-1.47620994273719</v>
      </c>
      <c r="AV82">
        <v>-0.66368326023013902</v>
      </c>
      <c r="AW82">
        <v>0.52123741813739999</v>
      </c>
      <c r="AX82">
        <v>9.8372399172162298E-2</v>
      </c>
      <c r="AY82">
        <v>0.47719768636642601</v>
      </c>
      <c r="AZ82">
        <v>-0.67017411833343499</v>
      </c>
      <c r="BA82">
        <v>-0.64707272071430999</v>
      </c>
      <c r="BB82">
        <v>-0.66587814087479202</v>
      </c>
    </row>
    <row r="83" spans="1:54" x14ac:dyDescent="0.2">
      <c r="A83" t="s">
        <v>39</v>
      </c>
      <c r="B83" t="s">
        <v>159</v>
      </c>
      <c r="C83" t="s">
        <v>11</v>
      </c>
      <c r="D83">
        <v>2.4171656693535302</v>
      </c>
      <c r="E83">
        <v>-1.3022497769511501</v>
      </c>
      <c r="F83">
        <v>-1.17039428075708</v>
      </c>
      <c r="G83">
        <v>8.9211190127158006E-3</v>
      </c>
      <c r="H83">
        <v>-0.48242156394658398</v>
      </c>
      <c r="I83">
        <v>-0.51171262919909599</v>
      </c>
      <c r="J83">
        <v>0.720037537209266</v>
      </c>
      <c r="K83">
        <v>0.46559213767522001</v>
      </c>
      <c r="L83">
        <v>0.13682075937379401</v>
      </c>
      <c r="M83">
        <v>-0.69873472609217901</v>
      </c>
      <c r="N83">
        <v>-0.32574317470769398</v>
      </c>
      <c r="P83">
        <v>0.58167880817067596</v>
      </c>
      <c r="R83">
        <v>-0.76962106680033204</v>
      </c>
      <c r="S83">
        <v>1.9693557478867201</v>
      </c>
      <c r="T83">
        <v>0.22861566426993901</v>
      </c>
      <c r="U83">
        <v>1.6939263596099701</v>
      </c>
      <c r="V83">
        <v>0.75904567123244304</v>
      </c>
      <c r="W83">
        <v>0.42904603918108902</v>
      </c>
      <c r="X83">
        <v>0.238862050749066</v>
      </c>
      <c r="Y83">
        <v>2.9191646228972101</v>
      </c>
      <c r="Z83">
        <v>0.68300427632090299</v>
      </c>
      <c r="AA83">
        <v>2.04090194059801</v>
      </c>
      <c r="AB83">
        <v>2.3146979319583101E-2</v>
      </c>
      <c r="AC83">
        <v>-0.37399219012335799</v>
      </c>
      <c r="AD83">
        <v>1.1252192568288399</v>
      </c>
      <c r="AE83">
        <v>-1.7121818032637399</v>
      </c>
      <c r="AF83">
        <v>1.8112336499503801</v>
      </c>
      <c r="AG83">
        <v>-2.37636028279322</v>
      </c>
      <c r="AH83">
        <v>-0.96728281811408701</v>
      </c>
      <c r="AI83">
        <v>-0.67316143287831398</v>
      </c>
      <c r="AJ83">
        <v>-0.487846424266134</v>
      </c>
      <c r="AK83">
        <v>1.2043291436197501</v>
      </c>
      <c r="AL83">
        <v>-0.26440208439614299</v>
      </c>
      <c r="AM83">
        <v>0.221841199499314</v>
      </c>
      <c r="AN83">
        <v>-0.141768832395086</v>
      </c>
      <c r="AO83">
        <v>-2.3230884798442699</v>
      </c>
      <c r="AP83">
        <v>-3.1464710087164602E-2</v>
      </c>
      <c r="AQ83">
        <v>-2.4295634001801201</v>
      </c>
      <c r="AT83">
        <v>0.22612355531668199</v>
      </c>
      <c r="AU83">
        <v>-2.1291806440154999</v>
      </c>
      <c r="AV83">
        <v>-1.1884092154735699</v>
      </c>
      <c r="AW83">
        <v>0.42832971121840901</v>
      </c>
      <c r="AX83">
        <v>-1.2328383800515901</v>
      </c>
      <c r="AY83">
        <v>-0.66395401741471205</v>
      </c>
      <c r="AZ83">
        <v>0.58050924756292399</v>
      </c>
      <c r="BA83">
        <v>0.59613754402418595</v>
      </c>
      <c r="BB83">
        <v>0.74736324287050804</v>
      </c>
    </row>
    <row r="84" spans="1:54" x14ac:dyDescent="0.2">
      <c r="A84" t="s">
        <v>38</v>
      </c>
      <c r="B84" t="s">
        <v>159</v>
      </c>
      <c r="C84" t="s">
        <v>17</v>
      </c>
      <c r="D84">
        <v>2.0092924539802799</v>
      </c>
      <c r="E84">
        <v>-0.65691735426903797</v>
      </c>
      <c r="F84">
        <v>-0.59545889039599698</v>
      </c>
      <c r="G84">
        <v>1.3903405679351499</v>
      </c>
      <c r="H84">
        <v>-0.62670287153788595</v>
      </c>
      <c r="I84">
        <v>-0.33161463064680602</v>
      </c>
      <c r="J84">
        <v>0.54998305580375395</v>
      </c>
      <c r="K84">
        <v>0.23694414280529</v>
      </c>
      <c r="L84">
        <v>1.2215757170649999</v>
      </c>
      <c r="M84">
        <v>-0.24056738546144099</v>
      </c>
      <c r="N84">
        <v>-0.40077778719314</v>
      </c>
      <c r="P84">
        <v>-0.52879332255414302</v>
      </c>
      <c r="R84">
        <v>6.1708380483201299E-2</v>
      </c>
      <c r="S84">
        <v>-8.2255717751398796E-2</v>
      </c>
      <c r="T84">
        <v>-0.66784451187594895</v>
      </c>
      <c r="U84">
        <v>0.54384384595075796</v>
      </c>
      <c r="V84">
        <v>-0.86220527987753803</v>
      </c>
      <c r="W84">
        <v>-1.1131719151948001</v>
      </c>
      <c r="X84">
        <v>-0.443724357092114</v>
      </c>
      <c r="Y84">
        <v>1.6481116250432799</v>
      </c>
      <c r="Z84">
        <v>-0.68230931563005803</v>
      </c>
      <c r="AA84">
        <v>1.9316370740825</v>
      </c>
      <c r="AB84">
        <v>-0.28163859679686698</v>
      </c>
      <c r="AC84">
        <v>-0.69519622458790098</v>
      </c>
      <c r="AD84">
        <v>1.1441003157065901</v>
      </c>
      <c r="AE84">
        <v>0.211053234496479</v>
      </c>
      <c r="AF84">
        <v>1.0762443816087699</v>
      </c>
      <c r="AG84">
        <v>-0.45043608646277999</v>
      </c>
      <c r="AH84">
        <v>-1.75290505376372E-2</v>
      </c>
      <c r="AI84">
        <v>0.89434796080854895</v>
      </c>
      <c r="AJ84">
        <v>-1.6153547908614201</v>
      </c>
      <c r="AK84">
        <v>1.3317282891134401</v>
      </c>
      <c r="AL84">
        <v>0.60270255333660505</v>
      </c>
      <c r="AM84">
        <v>0.72927146171301505</v>
      </c>
      <c r="AN84">
        <v>0.91707540391311104</v>
      </c>
      <c r="AO84">
        <v>-0.67254573967282805</v>
      </c>
      <c r="AP84">
        <v>-1.16898147604437</v>
      </c>
      <c r="AQ84">
        <v>-1.2376214647766901</v>
      </c>
      <c r="AT84">
        <v>0.93755930351735906</v>
      </c>
      <c r="AU84">
        <v>-1.9337356659443099</v>
      </c>
      <c r="AV84">
        <v>-8.8060790403316005E-2</v>
      </c>
      <c r="AW84">
        <v>-0.28188740709466398</v>
      </c>
      <c r="AX84">
        <v>-1.6069979419536</v>
      </c>
      <c r="AY84">
        <v>4.9502302963321303E-2</v>
      </c>
      <c r="AZ84">
        <v>5.9114636900932098E-2</v>
      </c>
      <c r="BA84">
        <v>-0.80833555827877801</v>
      </c>
      <c r="BB84">
        <v>0.54452742566810197</v>
      </c>
    </row>
    <row r="85" spans="1:54" x14ac:dyDescent="0.2">
      <c r="A85" t="s">
        <v>38</v>
      </c>
      <c r="B85" t="s">
        <v>159</v>
      </c>
      <c r="C85" t="s">
        <v>16</v>
      </c>
      <c r="D85">
        <v>1.40545689647697</v>
      </c>
      <c r="E85">
        <v>-0.76217147694898002</v>
      </c>
      <c r="F85">
        <v>-0.56023013601285299</v>
      </c>
      <c r="G85">
        <v>0.798068798252211</v>
      </c>
      <c r="H85">
        <v>-1.13894505895289</v>
      </c>
      <c r="I85">
        <v>-2.2992012795301102</v>
      </c>
      <c r="J85">
        <v>0.47137660572609102</v>
      </c>
      <c r="K85">
        <v>-1.14252910515136</v>
      </c>
      <c r="L85">
        <v>1.10085392767025</v>
      </c>
      <c r="M85">
        <v>0.46809897436741299</v>
      </c>
      <c r="N85">
        <v>-0.22552896614793999</v>
      </c>
      <c r="P85">
        <v>-0.39434426978533299</v>
      </c>
      <c r="R85">
        <v>-0.15131444927847401</v>
      </c>
      <c r="S85">
        <v>8.71639847661628E-2</v>
      </c>
      <c r="T85">
        <v>-0.80720596604447403</v>
      </c>
      <c r="U85">
        <v>1.16535409500015</v>
      </c>
      <c r="V85">
        <v>-1.05904367672616</v>
      </c>
      <c r="W85">
        <v>-1.10882769334543</v>
      </c>
      <c r="X85">
        <v>-2.6020724660344698</v>
      </c>
      <c r="Y85">
        <v>0.61300237943004898</v>
      </c>
      <c r="Z85">
        <v>-0.52421187696485205</v>
      </c>
      <c r="AA85">
        <v>1.21352132313579</v>
      </c>
      <c r="AB85">
        <v>-6.11523125629777E-2</v>
      </c>
      <c r="AC85">
        <v>-0.99121244408717601</v>
      </c>
      <c r="AD85">
        <v>1.1204413385941401</v>
      </c>
      <c r="AE85">
        <v>0.74254462330802495</v>
      </c>
      <c r="AF85">
        <v>0.55537943408809198</v>
      </c>
      <c r="AG85">
        <v>-1.5715148817617099</v>
      </c>
      <c r="AH85">
        <v>-0.27818589781631298</v>
      </c>
      <c r="AI85">
        <v>0.52660792086699304</v>
      </c>
      <c r="AJ85">
        <v>0.140323080720443</v>
      </c>
      <c r="AK85">
        <v>0.27740164438651699</v>
      </c>
      <c r="AL85">
        <v>-0.74130285260471096</v>
      </c>
      <c r="AM85">
        <v>1.38906571579107</v>
      </c>
      <c r="AN85">
        <v>1.1176636161883799</v>
      </c>
      <c r="AO85">
        <v>0.26340749956215398</v>
      </c>
      <c r="AP85">
        <v>-0.92464370539213703</v>
      </c>
      <c r="AQ85">
        <v>-0.68240838442357499</v>
      </c>
      <c r="AT85">
        <v>1.4459008492015599</v>
      </c>
      <c r="AU85">
        <v>0.28198138709979698</v>
      </c>
      <c r="AV85">
        <v>0.16477122446179401</v>
      </c>
      <c r="AW85">
        <v>1.68556840864563</v>
      </c>
      <c r="AX85">
        <v>0.58230765012216301</v>
      </c>
      <c r="AY85">
        <v>0.22034681666263201</v>
      </c>
      <c r="AZ85">
        <v>0.75733891369452</v>
      </c>
      <c r="BA85">
        <v>-1.3704309121240601</v>
      </c>
      <c r="BB85">
        <v>0.80253070347700906</v>
      </c>
    </row>
    <row r="86" spans="1:54" x14ac:dyDescent="0.2">
      <c r="A86" t="s">
        <v>38</v>
      </c>
      <c r="B86" t="s">
        <v>159</v>
      </c>
      <c r="C86" t="s">
        <v>18</v>
      </c>
      <c r="D86">
        <v>1.83399618338371</v>
      </c>
      <c r="E86">
        <v>-1.0572622701029399</v>
      </c>
      <c r="F86">
        <v>-0.60562215868888003</v>
      </c>
      <c r="G86">
        <v>0.45779612630990901</v>
      </c>
      <c r="H86">
        <v>-1.29983001231132</v>
      </c>
      <c r="I86">
        <v>-0.81742498912760497</v>
      </c>
      <c r="J86">
        <v>0.238157223560166</v>
      </c>
      <c r="K86">
        <v>0.403285761157885</v>
      </c>
      <c r="L86">
        <v>0.89368834482512205</v>
      </c>
      <c r="M86">
        <v>6.8088334699421202E-2</v>
      </c>
      <c r="N86">
        <v>-1.1159998870861001</v>
      </c>
      <c r="P86">
        <v>-9.9284483160129597E-2</v>
      </c>
      <c r="R86">
        <v>-0.21446151173754299</v>
      </c>
      <c r="S86">
        <v>-0.55980316356580595</v>
      </c>
      <c r="T86">
        <v>-0.69675985837923005</v>
      </c>
      <c r="U86">
        <v>-0.119090502608308</v>
      </c>
      <c r="V86">
        <v>-2.28990197668081</v>
      </c>
      <c r="W86">
        <v>-2.7699997460293599</v>
      </c>
      <c r="X86">
        <v>-0.89012089357236202</v>
      </c>
      <c r="Y86">
        <v>0.73671551991697204</v>
      </c>
      <c r="Z86">
        <v>-1.4472566567012899</v>
      </c>
      <c r="AA86">
        <v>0.933770857116482</v>
      </c>
      <c r="AB86">
        <v>-0.383698457082085</v>
      </c>
      <c r="AC86">
        <v>-0.95821093499905696</v>
      </c>
      <c r="AD86">
        <v>0.55425102650907199</v>
      </c>
      <c r="AE86">
        <v>0.30668166280407799</v>
      </c>
      <c r="AF86">
        <v>1.1256321025496001</v>
      </c>
      <c r="AG86">
        <v>0.193311533966325</v>
      </c>
      <c r="AH86">
        <v>0.55387278346722102</v>
      </c>
      <c r="AI86">
        <v>0.788782051608929</v>
      </c>
      <c r="AJ86">
        <v>-0.11216859507744099</v>
      </c>
      <c r="AK86">
        <v>1.9030605606519899</v>
      </c>
      <c r="AL86">
        <v>0.39365380609734102</v>
      </c>
      <c r="AM86">
        <v>1.04286125624799</v>
      </c>
      <c r="AN86">
        <v>0.60876575663453703</v>
      </c>
      <c r="AO86">
        <v>0.107577899754913</v>
      </c>
      <c r="AP86">
        <v>-1.0726132266949999</v>
      </c>
      <c r="AQ86">
        <v>-1.0630299416515301</v>
      </c>
      <c r="AT86">
        <v>1.3513368411651401</v>
      </c>
      <c r="AU86">
        <v>-0.225018139953475</v>
      </c>
      <c r="AV86">
        <v>-0.321784049028004</v>
      </c>
      <c r="AW86">
        <v>1.29654300284781</v>
      </c>
      <c r="AX86">
        <v>0.85159201690987696</v>
      </c>
      <c r="AY86">
        <v>0.22715631854150301</v>
      </c>
      <c r="AZ86">
        <v>0.58924104790981802</v>
      </c>
      <c r="BA86">
        <v>0.32518651903727902</v>
      </c>
      <c r="BB86">
        <v>0.33433691656519898</v>
      </c>
    </row>
    <row r="87" spans="1:54" x14ac:dyDescent="0.2">
      <c r="A87" t="s">
        <v>38</v>
      </c>
      <c r="B87" t="s">
        <v>159</v>
      </c>
      <c r="C87" t="s">
        <v>19</v>
      </c>
      <c r="D87">
        <v>-0.183112477828865</v>
      </c>
      <c r="E87">
        <v>-3.6583759375474798E-2</v>
      </c>
      <c r="F87">
        <v>-1.0400054414505999</v>
      </c>
      <c r="G87">
        <v>-0.30359871505959102</v>
      </c>
      <c r="H87">
        <v>-0.55221187067098199</v>
      </c>
      <c r="I87">
        <v>-1.9679274092028001</v>
      </c>
      <c r="J87">
        <v>0.97151739141804105</v>
      </c>
      <c r="K87">
        <v>-0.59389267834681303</v>
      </c>
      <c r="L87">
        <v>-0.32408309856685502</v>
      </c>
      <c r="M87">
        <v>0.25282927641340602</v>
      </c>
      <c r="N87">
        <v>0.126376060437633</v>
      </c>
      <c r="P87">
        <v>-1.0604685851136799</v>
      </c>
      <c r="R87">
        <v>-0.14555432101516899</v>
      </c>
      <c r="S87">
        <v>-0.33299377191718199</v>
      </c>
      <c r="T87">
        <v>1.36888073699026</v>
      </c>
      <c r="U87">
        <v>1.1870290734054101</v>
      </c>
      <c r="V87">
        <v>0.31841711374428999</v>
      </c>
      <c r="W87">
        <v>-1.1450783662567301</v>
      </c>
      <c r="X87">
        <v>-0.374530440811709</v>
      </c>
      <c r="Y87">
        <v>-0.37674908285456898</v>
      </c>
      <c r="Z87">
        <v>0.98410003914303701</v>
      </c>
      <c r="AA87">
        <v>1.3779333924586099</v>
      </c>
      <c r="AB87">
        <v>-0.98906800455375699</v>
      </c>
      <c r="AC87">
        <v>-2.3404326672164402</v>
      </c>
      <c r="AD87">
        <v>1.58115919426448</v>
      </c>
      <c r="AE87">
        <v>1.1242901585969201</v>
      </c>
      <c r="AF87">
        <v>-0.107096555782597</v>
      </c>
      <c r="AG87">
        <v>0.31764517593972702</v>
      </c>
      <c r="AH87">
        <v>-0.86481521373766501</v>
      </c>
      <c r="AI87">
        <v>0.25230196025102197</v>
      </c>
      <c r="AJ87">
        <v>-8.0859567477382502E-2</v>
      </c>
      <c r="AK87">
        <v>0.79219843116742905</v>
      </c>
      <c r="AL87">
        <v>1.0116860366348099</v>
      </c>
      <c r="AM87">
        <v>-1.04558849075632</v>
      </c>
      <c r="AN87">
        <v>-0.55871768836338398</v>
      </c>
      <c r="AO87">
        <v>0.120146496809818</v>
      </c>
      <c r="AP87">
        <v>-0.41147483469825702</v>
      </c>
      <c r="AQ87">
        <v>-0.57554287418202199</v>
      </c>
      <c r="AT87">
        <v>0.80409180771776001</v>
      </c>
      <c r="AU87">
        <v>0.95583988209211102</v>
      </c>
      <c r="AV87">
        <v>1.30040897122504</v>
      </c>
      <c r="AW87">
        <v>-0.22900951691288901</v>
      </c>
      <c r="AX87">
        <v>-2.1394895589171399</v>
      </c>
      <c r="AY87">
        <v>1.1574136510369399</v>
      </c>
      <c r="AZ87">
        <v>0.83479588491642798</v>
      </c>
      <c r="BA87">
        <v>-0.302184797837309</v>
      </c>
      <c r="BB87">
        <v>1.24200905424301</v>
      </c>
    </row>
    <row r="88" spans="1:54" x14ac:dyDescent="0.2">
      <c r="A88" t="s">
        <v>38</v>
      </c>
      <c r="B88" t="s">
        <v>159</v>
      </c>
      <c r="C88" t="s">
        <v>12</v>
      </c>
      <c r="D88">
        <v>1.7258304098097199</v>
      </c>
      <c r="E88">
        <v>-2.0681325767402101</v>
      </c>
      <c r="F88">
        <v>-1.4158199264458999</v>
      </c>
      <c r="G88">
        <v>-0.54763221460050304</v>
      </c>
      <c r="H88">
        <v>-0.48666949019106498</v>
      </c>
      <c r="I88">
        <v>-0.836380951595458</v>
      </c>
      <c r="J88">
        <v>-0.21958486632623</v>
      </c>
      <c r="K88">
        <v>-1.2400248971929899</v>
      </c>
      <c r="L88">
        <v>-1.4046990976696001</v>
      </c>
      <c r="M88">
        <v>-0.93649082628478997</v>
      </c>
      <c r="N88">
        <v>-0.94017539065508904</v>
      </c>
      <c r="P88">
        <v>-0.87485143174560198</v>
      </c>
      <c r="R88">
        <v>-0.89882250363641802</v>
      </c>
      <c r="S88">
        <v>-0.21973595078564101</v>
      </c>
      <c r="T88">
        <v>-0.39533650356494199</v>
      </c>
      <c r="U88">
        <v>-0.24509770507293999</v>
      </c>
      <c r="V88">
        <v>-2.5699222402498298</v>
      </c>
      <c r="W88">
        <v>-1.92396569340477</v>
      </c>
      <c r="X88">
        <v>-2.0237139039412502</v>
      </c>
      <c r="Y88">
        <v>0.24560794619626999</v>
      </c>
      <c r="Z88">
        <v>-2.1476314885535901</v>
      </c>
      <c r="AA88">
        <v>1.52613967316343</v>
      </c>
      <c r="AB88">
        <v>-0.36808004925757998</v>
      </c>
      <c r="AC88">
        <v>-0.49951850063090197</v>
      </c>
      <c r="AD88">
        <v>0.72565249374920304</v>
      </c>
      <c r="AE88">
        <v>-1.42817326579625</v>
      </c>
      <c r="AF88">
        <v>1.69106143261334</v>
      </c>
      <c r="AG88">
        <v>1.2289378241586499</v>
      </c>
      <c r="AH88">
        <v>0.460339444394813</v>
      </c>
      <c r="AI88">
        <v>1.3551286987215501</v>
      </c>
      <c r="AJ88">
        <v>-6.4662409738120499E-2</v>
      </c>
      <c r="AK88">
        <v>2.72175454519506</v>
      </c>
      <c r="AL88">
        <v>1.3700820444955499</v>
      </c>
      <c r="AM88">
        <v>1.1391290318720999</v>
      </c>
      <c r="AN88">
        <v>0.79773227965599203</v>
      </c>
      <c r="AO88">
        <v>1.11313332714681</v>
      </c>
      <c r="AP88">
        <v>-2.3051079708437299</v>
      </c>
      <c r="AQ88">
        <v>0.26542592172383001</v>
      </c>
      <c r="AT88">
        <v>2.0905023737507902</v>
      </c>
      <c r="AU88">
        <v>-0.74619789512158197</v>
      </c>
      <c r="AV88">
        <v>0.71586404367368905</v>
      </c>
      <c r="AW88">
        <v>1.9346709962589701</v>
      </c>
      <c r="AX88">
        <v>1.7075459907861399</v>
      </c>
      <c r="AY88">
        <v>1.0118451604138601</v>
      </c>
      <c r="AZ88">
        <v>0.922826158569511</v>
      </c>
      <c r="BA88">
        <v>0.997760190862232</v>
      </c>
      <c r="BB88">
        <v>1.05945776283349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82"/>
  <sheetViews>
    <sheetView topLeftCell="A18" workbookViewId="0">
      <selection activeCell="A70" sqref="A70:C82"/>
    </sheetView>
  </sheetViews>
  <sheetFormatPr baseColWidth="10" defaultColWidth="8.83203125" defaultRowHeight="15" x14ac:dyDescent="0.2"/>
  <cols>
    <col min="1" max="1" width="15" customWidth="1"/>
    <col min="2" max="2" width="20.6640625" customWidth="1"/>
    <col min="3" max="3" width="12.83203125" customWidth="1"/>
  </cols>
  <sheetData>
    <row r="1" spans="1:47" x14ac:dyDescent="0.2">
      <c r="A1" t="s">
        <v>44</v>
      </c>
    </row>
    <row r="2" spans="1:47" x14ac:dyDescent="0.2">
      <c r="A2" t="s">
        <v>45</v>
      </c>
    </row>
    <row r="4" spans="1:47" x14ac:dyDescent="0.2">
      <c r="C4" s="1" t="s">
        <v>41</v>
      </c>
      <c r="D4" s="1"/>
      <c r="E4" s="1"/>
      <c r="F4" s="1"/>
    </row>
    <row r="6" spans="1:47" x14ac:dyDescent="0.2"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P6" t="s">
        <v>57</v>
      </c>
      <c r="Q6" t="s">
        <v>58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  <c r="X6" t="s">
        <v>65</v>
      </c>
      <c r="Y6" t="s">
        <v>66</v>
      </c>
      <c r="Z6" t="s">
        <v>67</v>
      </c>
      <c r="AA6" t="s">
        <v>68</v>
      </c>
      <c r="AB6" t="s">
        <v>69</v>
      </c>
      <c r="AC6" t="s">
        <v>70</v>
      </c>
      <c r="AD6" t="s">
        <v>71</v>
      </c>
      <c r="AE6" t="s">
        <v>72</v>
      </c>
      <c r="AF6" t="s">
        <v>73</v>
      </c>
      <c r="AG6" t="s">
        <v>74</v>
      </c>
      <c r="AH6" t="s">
        <v>75</v>
      </c>
      <c r="AI6" t="s">
        <v>76</v>
      </c>
      <c r="AJ6" t="s">
        <v>77</v>
      </c>
      <c r="AK6" t="s">
        <v>78</v>
      </c>
      <c r="AL6" t="s">
        <v>79</v>
      </c>
      <c r="AM6" t="s">
        <v>80</v>
      </c>
      <c r="AN6" t="s">
        <v>81</v>
      </c>
      <c r="AO6" t="s">
        <v>82</v>
      </c>
      <c r="AP6" t="s">
        <v>83</v>
      </c>
      <c r="AQ6" t="s">
        <v>84</v>
      </c>
      <c r="AR6" t="s">
        <v>85</v>
      </c>
      <c r="AS6" t="s">
        <v>86</v>
      </c>
      <c r="AT6" t="s">
        <v>87</v>
      </c>
      <c r="AU6" t="s">
        <v>88</v>
      </c>
    </row>
    <row r="7" spans="1:47" x14ac:dyDescent="0.2">
      <c r="A7" t="s">
        <v>37</v>
      </c>
      <c r="B7" t="s">
        <v>158</v>
      </c>
      <c r="C7" t="s">
        <v>89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</row>
    <row r="8" spans="1:47" x14ac:dyDescent="0.2">
      <c r="A8" t="s">
        <v>39</v>
      </c>
      <c r="B8" t="s">
        <v>160</v>
      </c>
      <c r="C8" t="s">
        <v>91</v>
      </c>
      <c r="D8">
        <v>7630.4750000000004</v>
      </c>
      <c r="E8">
        <v>5867.3069999999998</v>
      </c>
      <c r="F8">
        <v>6739.5360000000001</v>
      </c>
      <c r="G8">
        <v>3585.2689999999998</v>
      </c>
      <c r="H8">
        <v>18299.005000000001</v>
      </c>
      <c r="I8">
        <v>9452.5879999999997</v>
      </c>
      <c r="J8">
        <v>12086.314</v>
      </c>
      <c r="K8">
        <v>1849.316</v>
      </c>
      <c r="L8">
        <v>4781.4539999999997</v>
      </c>
      <c r="M8">
        <v>3813.8890000000001</v>
      </c>
      <c r="N8">
        <v>1100.6210000000001</v>
      </c>
      <c r="P8">
        <v>27186.222000000002</v>
      </c>
      <c r="Q8">
        <v>15336.803</v>
      </c>
      <c r="R8">
        <v>20279.57</v>
      </c>
      <c r="S8">
        <v>12037.33</v>
      </c>
      <c r="T8">
        <v>1111.8910000000001</v>
      </c>
      <c r="U8">
        <v>11630.398999999999</v>
      </c>
      <c r="V8">
        <v>1876.7809999999999</v>
      </c>
      <c r="W8">
        <v>7682.0050000000001</v>
      </c>
      <c r="X8">
        <v>11649.708000000001</v>
      </c>
      <c r="Y8">
        <v>7595</v>
      </c>
      <c r="Z8">
        <v>8541.8189999999995</v>
      </c>
      <c r="AA8">
        <v>7654.87</v>
      </c>
      <c r="AB8">
        <v>6664.36</v>
      </c>
      <c r="AC8">
        <v>8793.2749999999996</v>
      </c>
      <c r="AD8">
        <v>6551.7079999999996</v>
      </c>
      <c r="AE8">
        <v>6229.9690000000001</v>
      </c>
      <c r="AF8">
        <v>2301.0070000000001</v>
      </c>
      <c r="AG8">
        <v>9334.1959999999999</v>
      </c>
      <c r="AH8">
        <v>13477.402</v>
      </c>
      <c r="AI8">
        <v>4241.0420000000004</v>
      </c>
      <c r="AJ8">
        <v>4130.2250000000004</v>
      </c>
      <c r="AK8">
        <v>19372.850999999999</v>
      </c>
      <c r="AL8">
        <v>7115.4579999999996</v>
      </c>
      <c r="AM8">
        <v>9506.6280000000006</v>
      </c>
      <c r="AN8">
        <v>7220.9250000000002</v>
      </c>
      <c r="AO8">
        <v>13560.306</v>
      </c>
      <c r="AP8">
        <v>11767.315000000001</v>
      </c>
      <c r="AQ8">
        <v>6903.2629999999999</v>
      </c>
      <c r="AR8">
        <v>14488.721</v>
      </c>
      <c r="AS8">
        <v>19022.688999999998</v>
      </c>
      <c r="AT8">
        <v>5437.643</v>
      </c>
      <c r="AU8">
        <v>7893.8230000000003</v>
      </c>
    </row>
    <row r="9" spans="1:47" x14ac:dyDescent="0.2">
      <c r="A9" t="s">
        <v>38</v>
      </c>
      <c r="B9" t="s">
        <v>160</v>
      </c>
      <c r="C9" t="s">
        <v>8</v>
      </c>
      <c r="D9">
        <v>23028.513999999999</v>
      </c>
      <c r="E9">
        <v>34933.377999999997</v>
      </c>
      <c r="F9">
        <v>27926.014999999999</v>
      </c>
      <c r="G9">
        <v>19152.665000000001</v>
      </c>
      <c r="H9">
        <v>54377.239000000001</v>
      </c>
      <c r="I9">
        <v>49543.212</v>
      </c>
      <c r="J9">
        <v>32213.064999999999</v>
      </c>
      <c r="K9">
        <v>6408.0240000000003</v>
      </c>
      <c r="L9">
        <v>22737.597000000002</v>
      </c>
      <c r="M9">
        <v>36817.038999999997</v>
      </c>
      <c r="N9">
        <v>8867.4040000000005</v>
      </c>
      <c r="P9">
        <v>71372.827999999994</v>
      </c>
      <c r="Q9">
        <v>86282.095000000001</v>
      </c>
      <c r="R9">
        <v>62586.983999999997</v>
      </c>
      <c r="S9">
        <v>43117.5</v>
      </c>
      <c r="T9">
        <v>13963.328</v>
      </c>
      <c r="U9">
        <v>54976.216</v>
      </c>
      <c r="V9">
        <v>25668.26</v>
      </c>
      <c r="W9">
        <v>24769.258999999998</v>
      </c>
      <c r="X9">
        <v>50757.36</v>
      </c>
      <c r="Y9">
        <v>24283.249</v>
      </c>
      <c r="Z9">
        <v>45688.374000000003</v>
      </c>
      <c r="AA9">
        <v>18882.481</v>
      </c>
      <c r="AB9">
        <v>26182.196</v>
      </c>
      <c r="AC9">
        <v>36176.832000000002</v>
      </c>
      <c r="AD9">
        <v>32144.789000000001</v>
      </c>
      <c r="AE9">
        <v>70935.574999999997</v>
      </c>
      <c r="AF9">
        <v>7857.99</v>
      </c>
      <c r="AG9">
        <v>26025.88</v>
      </c>
      <c r="AH9">
        <v>49590.868999999999</v>
      </c>
      <c r="AI9">
        <v>27238.648000000001</v>
      </c>
      <c r="AJ9">
        <v>18312.433000000001</v>
      </c>
      <c r="AK9">
        <v>55827.411999999997</v>
      </c>
      <c r="AL9">
        <v>43951.012000000002</v>
      </c>
      <c r="AM9">
        <v>28459.557000000001</v>
      </c>
      <c r="AN9">
        <v>35461.576999999997</v>
      </c>
      <c r="AO9">
        <v>45743.578000000001</v>
      </c>
      <c r="AP9">
        <v>36636.732000000004</v>
      </c>
      <c r="AQ9">
        <v>26323.216</v>
      </c>
      <c r="AR9">
        <v>44974.692999999999</v>
      </c>
      <c r="AS9">
        <v>42171.127999999997</v>
      </c>
      <c r="AT9">
        <v>22677.316999999999</v>
      </c>
      <c r="AU9">
        <v>18739.219000000001</v>
      </c>
    </row>
    <row r="10" spans="1:47" x14ac:dyDescent="0.2">
      <c r="A10" t="s">
        <v>38</v>
      </c>
      <c r="B10" t="s">
        <v>160</v>
      </c>
      <c r="C10" t="s">
        <v>92</v>
      </c>
      <c r="D10">
        <v>34920.800000000003</v>
      </c>
      <c r="E10">
        <v>23690.75</v>
      </c>
      <c r="F10">
        <v>72516.75</v>
      </c>
      <c r="G10">
        <v>24062.66</v>
      </c>
      <c r="H10">
        <v>75636.320000000007</v>
      </c>
      <c r="I10">
        <v>52496.07</v>
      </c>
      <c r="J10">
        <v>37937.300000000003</v>
      </c>
      <c r="K10">
        <v>32225.72</v>
      </c>
      <c r="L10">
        <v>39352.74</v>
      </c>
      <c r="M10">
        <v>29976.51</v>
      </c>
      <c r="N10">
        <v>15005.28</v>
      </c>
      <c r="P10">
        <v>118969.60000000001</v>
      </c>
      <c r="Q10">
        <v>158724.6</v>
      </c>
      <c r="R10">
        <v>51782.74</v>
      </c>
      <c r="S10">
        <v>51982.71</v>
      </c>
      <c r="T10">
        <v>22724.03</v>
      </c>
      <c r="U10">
        <v>1325.4349999999999</v>
      </c>
      <c r="V10">
        <v>3.7950000000000001E-5</v>
      </c>
      <c r="W10">
        <v>19461.21</v>
      </c>
      <c r="X10">
        <v>17256.84</v>
      </c>
      <c r="Y10">
        <v>16519.560000000001</v>
      </c>
      <c r="Z10">
        <v>35478.910000000003</v>
      </c>
      <c r="AA10">
        <v>35991.980000000003</v>
      </c>
      <c r="AB10">
        <v>21123.03</v>
      </c>
      <c r="AC10">
        <v>33168.370000000003</v>
      </c>
      <c r="AD10">
        <v>23347.47</v>
      </c>
      <c r="AE10">
        <v>32877.74</v>
      </c>
      <c r="AF10">
        <v>3.7950000000000001E-5</v>
      </c>
      <c r="AG10">
        <v>8144.7309999999998</v>
      </c>
      <c r="AH10">
        <v>5562.0910000000003</v>
      </c>
      <c r="AI10">
        <v>6458.0010000000002</v>
      </c>
      <c r="AJ10">
        <v>3217.9380000000001</v>
      </c>
      <c r="AK10">
        <v>26584.25</v>
      </c>
      <c r="AL10">
        <v>23353.46</v>
      </c>
      <c r="AM10">
        <v>10544.64</v>
      </c>
      <c r="AN10">
        <v>11609.25</v>
      </c>
      <c r="AO10">
        <v>3.7950000000000001E-5</v>
      </c>
      <c r="AP10">
        <v>14473.37</v>
      </c>
      <c r="AQ10">
        <v>8925.6180000000004</v>
      </c>
      <c r="AR10">
        <v>29506.34</v>
      </c>
      <c r="AS10">
        <v>29312.85</v>
      </c>
      <c r="AT10">
        <v>8193.1910000000007</v>
      </c>
      <c r="AU10">
        <v>6850.6750000000002</v>
      </c>
    </row>
    <row r="11" spans="1:47" x14ac:dyDescent="0.2">
      <c r="A11" t="s">
        <v>38</v>
      </c>
      <c r="B11" t="s">
        <v>160</v>
      </c>
      <c r="C11" t="s">
        <v>93</v>
      </c>
      <c r="D11">
        <v>36881.089999999997</v>
      </c>
      <c r="E11">
        <v>55070.49</v>
      </c>
      <c r="F11">
        <v>51558.36</v>
      </c>
      <c r="G11">
        <v>33741.19</v>
      </c>
      <c r="H11">
        <v>116582.45</v>
      </c>
      <c r="I11">
        <v>94746.18</v>
      </c>
      <c r="J11">
        <v>67112.27</v>
      </c>
      <c r="K11">
        <v>17059.14</v>
      </c>
      <c r="L11">
        <v>50050.95</v>
      </c>
      <c r="M11">
        <v>79030.350000000006</v>
      </c>
      <c r="N11">
        <v>20387.439999999999</v>
      </c>
      <c r="P11">
        <v>131120.13</v>
      </c>
      <c r="Q11">
        <v>185740.33</v>
      </c>
      <c r="R11">
        <v>119475.7</v>
      </c>
      <c r="S11">
        <v>75235.12</v>
      </c>
      <c r="T11">
        <v>24377.34</v>
      </c>
      <c r="U11">
        <v>168336.35</v>
      </c>
      <c r="V11">
        <v>70780.789999999994</v>
      </c>
      <c r="W11">
        <v>36630.559999999998</v>
      </c>
      <c r="X11">
        <v>127239.56</v>
      </c>
      <c r="Y11">
        <v>78594.850000000006</v>
      </c>
      <c r="Z11">
        <v>127258.44</v>
      </c>
      <c r="AA11">
        <v>64303.53</v>
      </c>
      <c r="AB11">
        <v>86244.34</v>
      </c>
      <c r="AC11">
        <v>110786.56</v>
      </c>
      <c r="AD11">
        <v>61145.56</v>
      </c>
      <c r="AE11">
        <v>105064.71</v>
      </c>
      <c r="AF11">
        <v>36921.599999999999</v>
      </c>
      <c r="AG11">
        <v>56483.59</v>
      </c>
      <c r="AH11">
        <v>149983.17000000001</v>
      </c>
      <c r="AI11">
        <v>57989.56</v>
      </c>
      <c r="AJ11">
        <v>37103.449999999997</v>
      </c>
      <c r="AK11">
        <v>165572.75</v>
      </c>
      <c r="AL11">
        <v>96057.45</v>
      </c>
      <c r="AM11">
        <v>54445.61</v>
      </c>
      <c r="AN11">
        <v>69948.19</v>
      </c>
      <c r="AO11">
        <v>163361.43</v>
      </c>
      <c r="AP11">
        <v>149888.22</v>
      </c>
      <c r="AQ11">
        <v>74670.039999999994</v>
      </c>
      <c r="AR11">
        <v>135880.03</v>
      </c>
      <c r="AS11">
        <v>116962.69</v>
      </c>
      <c r="AT11">
        <v>72350.490000000005</v>
      </c>
      <c r="AU11">
        <v>57893.279999999999</v>
      </c>
    </row>
    <row r="12" spans="1:47" x14ac:dyDescent="0.2">
      <c r="A12" t="s">
        <v>38</v>
      </c>
      <c r="B12" t="s">
        <v>160</v>
      </c>
      <c r="C12" t="s">
        <v>94</v>
      </c>
      <c r="D12">
        <v>105431.11</v>
      </c>
      <c r="E12">
        <v>241623.79</v>
      </c>
      <c r="F12">
        <v>236627.32</v>
      </c>
      <c r="G12">
        <v>98491.06</v>
      </c>
      <c r="H12">
        <v>325430.3</v>
      </c>
      <c r="I12">
        <v>405743.14</v>
      </c>
      <c r="J12">
        <v>183363.16</v>
      </c>
      <c r="K12">
        <v>93486.63</v>
      </c>
      <c r="L12">
        <v>257092.96</v>
      </c>
      <c r="M12">
        <v>230373.98</v>
      </c>
      <c r="N12">
        <v>66271.17</v>
      </c>
      <c r="P12">
        <v>483055.39</v>
      </c>
      <c r="Q12">
        <v>526201.22</v>
      </c>
      <c r="R12">
        <v>324569.37</v>
      </c>
      <c r="S12">
        <v>282506.14</v>
      </c>
      <c r="T12">
        <v>61681.85</v>
      </c>
      <c r="U12">
        <v>663744.32999999996</v>
      </c>
      <c r="V12">
        <v>264382.58</v>
      </c>
      <c r="W12">
        <v>130018.97</v>
      </c>
      <c r="X12">
        <v>421256.82</v>
      </c>
      <c r="Y12">
        <v>308427.42</v>
      </c>
      <c r="Z12">
        <v>259506.68</v>
      </c>
      <c r="AA12">
        <v>435585.79</v>
      </c>
      <c r="AB12">
        <v>459405.29</v>
      </c>
      <c r="AC12">
        <v>382897.22</v>
      </c>
      <c r="AD12">
        <v>246995.49</v>
      </c>
      <c r="AE12">
        <v>212472.66</v>
      </c>
      <c r="AF12">
        <v>282464.55</v>
      </c>
      <c r="AG12">
        <v>470078.83</v>
      </c>
      <c r="AH12">
        <v>744132</v>
      </c>
      <c r="AI12">
        <v>469964.14</v>
      </c>
      <c r="AJ12">
        <v>146127.54999999999</v>
      </c>
      <c r="AK12">
        <v>971326.35</v>
      </c>
      <c r="AL12">
        <v>582994.04</v>
      </c>
      <c r="AM12">
        <v>321274.7</v>
      </c>
      <c r="AN12">
        <v>510711.49</v>
      </c>
      <c r="AO12">
        <v>613036.28</v>
      </c>
      <c r="AP12">
        <v>600475.09</v>
      </c>
      <c r="AQ12">
        <v>429408.96</v>
      </c>
      <c r="AR12">
        <v>730019.53</v>
      </c>
      <c r="AS12">
        <v>651305.1</v>
      </c>
      <c r="AT12">
        <v>414550.95</v>
      </c>
      <c r="AU12">
        <v>365430.77</v>
      </c>
    </row>
    <row r="13" spans="1:47" x14ac:dyDescent="0.2">
      <c r="A13" t="s">
        <v>39</v>
      </c>
      <c r="B13" t="s">
        <v>159</v>
      </c>
      <c r="C13" t="s">
        <v>95</v>
      </c>
      <c r="D13">
        <v>69515.100000000006</v>
      </c>
      <c r="E13">
        <v>93313.94</v>
      </c>
      <c r="F13">
        <v>84260.64</v>
      </c>
      <c r="G13">
        <v>81185.17</v>
      </c>
      <c r="H13">
        <v>229620.68</v>
      </c>
      <c r="I13">
        <v>315986.31</v>
      </c>
      <c r="J13">
        <v>152319.96</v>
      </c>
      <c r="K13">
        <v>25837.41</v>
      </c>
      <c r="L13">
        <v>73586.97</v>
      </c>
      <c r="M13">
        <v>1010209.22</v>
      </c>
      <c r="N13">
        <v>59939.39</v>
      </c>
      <c r="P13">
        <v>276223.46999999997</v>
      </c>
      <c r="Q13">
        <v>750304.67</v>
      </c>
      <c r="R13">
        <v>227517.65</v>
      </c>
      <c r="S13">
        <v>86711.679999999993</v>
      </c>
      <c r="T13">
        <v>49949.89</v>
      </c>
      <c r="U13">
        <v>696614.81</v>
      </c>
      <c r="V13">
        <v>144050.01999999999</v>
      </c>
      <c r="W13">
        <v>95899.93</v>
      </c>
      <c r="X13">
        <v>368607.69</v>
      </c>
      <c r="Y13">
        <v>127351.45</v>
      </c>
      <c r="Z13">
        <v>909318.59</v>
      </c>
      <c r="AA13">
        <v>120911.82</v>
      </c>
      <c r="AB13">
        <v>336489.97</v>
      </c>
      <c r="AC13">
        <v>323166.99</v>
      </c>
      <c r="AD13">
        <v>120268.07</v>
      </c>
      <c r="AE13">
        <v>1694808.79</v>
      </c>
      <c r="AF13">
        <v>43907.31</v>
      </c>
      <c r="AG13">
        <v>105569.53</v>
      </c>
      <c r="AH13">
        <v>248723.36</v>
      </c>
      <c r="AI13">
        <v>58784.33</v>
      </c>
      <c r="AJ13">
        <v>68053.3</v>
      </c>
      <c r="AK13">
        <v>375395.96</v>
      </c>
      <c r="AL13">
        <v>220976.5</v>
      </c>
      <c r="AM13">
        <v>93053.02</v>
      </c>
      <c r="AN13">
        <v>72211.399999999994</v>
      </c>
      <c r="AO13">
        <v>699303.21</v>
      </c>
      <c r="AP13">
        <v>826972.95</v>
      </c>
      <c r="AQ13">
        <v>179534.45</v>
      </c>
      <c r="AR13">
        <v>311099.3</v>
      </c>
      <c r="AS13">
        <v>237754.59</v>
      </c>
      <c r="AT13">
        <v>133965.24</v>
      </c>
      <c r="AU13">
        <v>97109.56</v>
      </c>
    </row>
    <row r="14" spans="1:47" x14ac:dyDescent="0.2">
      <c r="A14" t="s">
        <v>39</v>
      </c>
      <c r="B14" t="s">
        <v>159</v>
      </c>
      <c r="C14" t="s">
        <v>9</v>
      </c>
      <c r="D14">
        <v>47302.474199999997</v>
      </c>
      <c r="E14">
        <v>33388.6996</v>
      </c>
      <c r="F14">
        <v>57437.612099999998</v>
      </c>
      <c r="G14">
        <v>22226.220799999999</v>
      </c>
      <c r="H14">
        <v>49277.085700000003</v>
      </c>
      <c r="I14">
        <v>88402.1633</v>
      </c>
      <c r="J14">
        <v>62253.721700000002</v>
      </c>
      <c r="K14">
        <v>23777.9748</v>
      </c>
      <c r="L14">
        <v>30656.284800000001</v>
      </c>
      <c r="M14">
        <v>334324.05099999998</v>
      </c>
      <c r="N14">
        <v>13359.8341</v>
      </c>
      <c r="P14">
        <v>205090.8867</v>
      </c>
      <c r="Q14">
        <v>202710.79209999999</v>
      </c>
      <c r="R14">
        <v>50101.548499999997</v>
      </c>
      <c r="S14">
        <v>47971.716099999998</v>
      </c>
      <c r="T14">
        <v>34790.811999999998</v>
      </c>
      <c r="U14">
        <v>104314.0343</v>
      </c>
      <c r="V14">
        <v>34982.262499999997</v>
      </c>
      <c r="W14">
        <v>32853.240700000002</v>
      </c>
      <c r="X14">
        <v>82078.076100000006</v>
      </c>
      <c r="Y14">
        <v>83899.0959</v>
      </c>
      <c r="Z14">
        <v>176996.7016</v>
      </c>
      <c r="AA14">
        <v>20302.669099999999</v>
      </c>
      <c r="AB14">
        <v>24481.970499999999</v>
      </c>
      <c r="AC14">
        <v>42790.911099999998</v>
      </c>
      <c r="AD14">
        <v>87468.732000000004</v>
      </c>
      <c r="AE14">
        <v>405840.35859999998</v>
      </c>
      <c r="AF14">
        <v>222.30699999999999</v>
      </c>
      <c r="AG14">
        <v>7067.52</v>
      </c>
      <c r="AH14">
        <v>1914.3729000000001</v>
      </c>
      <c r="AI14">
        <v>38687.7497</v>
      </c>
      <c r="AJ14">
        <v>1302.3409999999999</v>
      </c>
      <c r="AK14">
        <v>31001.8478</v>
      </c>
      <c r="AL14">
        <v>30860.5658</v>
      </c>
      <c r="AM14">
        <v>486.25760000000002</v>
      </c>
      <c r="AN14">
        <v>244.03630000000001</v>
      </c>
      <c r="AO14">
        <v>4033.9149000000002</v>
      </c>
      <c r="AP14">
        <v>12545.380499999999</v>
      </c>
      <c r="AQ14">
        <v>221.72460000000001</v>
      </c>
      <c r="AR14">
        <v>43973.698799999998</v>
      </c>
      <c r="AS14">
        <v>894.66520000000003</v>
      </c>
      <c r="AT14">
        <v>6264.3554999999997</v>
      </c>
      <c r="AU14">
        <v>1016.9046</v>
      </c>
    </row>
    <row r="15" spans="1:47" x14ac:dyDescent="0.2">
      <c r="A15" t="s">
        <v>39</v>
      </c>
      <c r="B15" t="s">
        <v>159</v>
      </c>
      <c r="C15" t="s">
        <v>15</v>
      </c>
      <c r="D15">
        <v>29247.4</v>
      </c>
      <c r="E15">
        <v>17801.419999999998</v>
      </c>
      <c r="F15">
        <v>52448.29</v>
      </c>
      <c r="G15">
        <v>18636.98</v>
      </c>
      <c r="H15">
        <v>119907.64</v>
      </c>
      <c r="I15">
        <v>142797.37</v>
      </c>
      <c r="J15">
        <v>150673.79999999999</v>
      </c>
      <c r="K15">
        <v>25415.919999999998</v>
      </c>
      <c r="L15">
        <v>30239.73</v>
      </c>
      <c r="M15">
        <v>619431.85</v>
      </c>
      <c r="N15">
        <v>15451.75</v>
      </c>
      <c r="P15">
        <v>147439.62</v>
      </c>
      <c r="Q15">
        <v>217493.88</v>
      </c>
      <c r="R15">
        <v>120523.25</v>
      </c>
      <c r="S15">
        <v>36150.47</v>
      </c>
      <c r="T15">
        <v>24689.32</v>
      </c>
      <c r="U15">
        <v>192450.11</v>
      </c>
      <c r="V15">
        <v>37190.370000000003</v>
      </c>
      <c r="W15">
        <v>52052.61</v>
      </c>
      <c r="X15">
        <v>184317.83</v>
      </c>
      <c r="Y15">
        <v>94927.31</v>
      </c>
      <c r="Z15">
        <v>381281.36</v>
      </c>
      <c r="AA15">
        <v>83210.899999999994</v>
      </c>
      <c r="AB15">
        <v>225196.26</v>
      </c>
      <c r="AC15">
        <v>147783.98000000001</v>
      </c>
      <c r="AD15">
        <v>69607.75</v>
      </c>
      <c r="AE15">
        <v>949664.18</v>
      </c>
      <c r="AF15">
        <v>35827.53</v>
      </c>
      <c r="AG15">
        <v>91580.57</v>
      </c>
      <c r="AH15">
        <v>168680.8</v>
      </c>
      <c r="AI15">
        <v>28703.85</v>
      </c>
      <c r="AJ15">
        <v>32659.69</v>
      </c>
      <c r="AK15">
        <v>281365.56</v>
      </c>
      <c r="AL15">
        <v>144862.59</v>
      </c>
      <c r="AM15">
        <v>65221.98</v>
      </c>
      <c r="AN15">
        <v>48182.74</v>
      </c>
      <c r="AO15">
        <v>309437.15000000002</v>
      </c>
      <c r="AP15">
        <v>402274.97</v>
      </c>
      <c r="AQ15">
        <v>139477.5</v>
      </c>
      <c r="AR15">
        <v>153720.65</v>
      </c>
      <c r="AS15">
        <v>155406.21</v>
      </c>
      <c r="AT15">
        <v>75316.03</v>
      </c>
      <c r="AU15">
        <v>77316.03</v>
      </c>
    </row>
    <row r="16" spans="1:47" x14ac:dyDescent="0.2">
      <c r="A16" t="s">
        <v>38</v>
      </c>
      <c r="B16" t="s">
        <v>159</v>
      </c>
      <c r="C16" t="s">
        <v>96</v>
      </c>
      <c r="D16">
        <v>32450.850999999999</v>
      </c>
      <c r="E16">
        <v>14903.272000000001</v>
      </c>
      <c r="F16">
        <v>127605.541</v>
      </c>
      <c r="G16">
        <v>36125.396999999997</v>
      </c>
      <c r="H16">
        <v>234412.00899999999</v>
      </c>
      <c r="I16">
        <v>374943.527</v>
      </c>
      <c r="J16">
        <v>216353.342</v>
      </c>
      <c r="K16">
        <v>70225.107999999993</v>
      </c>
      <c r="L16">
        <v>46544.887000000002</v>
      </c>
      <c r="M16">
        <v>1701690.0209999999</v>
      </c>
      <c r="N16">
        <v>36073.964</v>
      </c>
      <c r="P16">
        <v>302888.13299999997</v>
      </c>
      <c r="Q16">
        <v>1124107.32</v>
      </c>
      <c r="R16">
        <v>135544.35200000001</v>
      </c>
      <c r="S16">
        <v>49662.453999999998</v>
      </c>
      <c r="T16">
        <v>44301.052000000003</v>
      </c>
      <c r="U16">
        <v>30342.776999999998</v>
      </c>
      <c r="V16">
        <v>2257.3620000000001</v>
      </c>
      <c r="W16">
        <v>50279.065999999999</v>
      </c>
      <c r="X16">
        <v>105576.52800000001</v>
      </c>
      <c r="Y16">
        <v>68718.349000000002</v>
      </c>
      <c r="Z16">
        <v>796288.06099999999</v>
      </c>
      <c r="AA16">
        <v>98084.395999999993</v>
      </c>
      <c r="AB16">
        <v>189979.63399999999</v>
      </c>
      <c r="AC16">
        <v>144295.435</v>
      </c>
      <c r="AD16">
        <v>62668.226000000002</v>
      </c>
      <c r="AE16">
        <v>2003699.5330000001</v>
      </c>
      <c r="AF16">
        <v>2642.5390000000002</v>
      </c>
      <c r="AG16">
        <v>21381.016</v>
      </c>
      <c r="AH16">
        <v>35276.735999999997</v>
      </c>
      <c r="AI16">
        <v>8036.7240000000002</v>
      </c>
      <c r="AJ16">
        <v>7523.232</v>
      </c>
      <c r="AK16">
        <v>189200.5</v>
      </c>
      <c r="AL16">
        <v>164638.785</v>
      </c>
      <c r="AM16">
        <v>32076.493999999999</v>
      </c>
      <c r="AN16">
        <v>16038.525</v>
      </c>
      <c r="AO16">
        <v>21259.124</v>
      </c>
      <c r="AP16">
        <v>201988.94500000001</v>
      </c>
      <c r="AQ16">
        <v>38530.830999999998</v>
      </c>
      <c r="AR16">
        <v>115928.878</v>
      </c>
      <c r="AS16">
        <v>98891.100999999995</v>
      </c>
      <c r="AT16">
        <v>24594.562000000002</v>
      </c>
      <c r="AU16">
        <v>22811.300999999999</v>
      </c>
    </row>
    <row r="17" spans="1:47" x14ac:dyDescent="0.2">
      <c r="A17" t="s">
        <v>38</v>
      </c>
      <c r="B17" t="s">
        <v>159</v>
      </c>
      <c r="C17" t="s">
        <v>97</v>
      </c>
      <c r="D17">
        <v>66645.460000000006</v>
      </c>
      <c r="E17">
        <v>49682.02</v>
      </c>
      <c r="F17">
        <v>274668.5</v>
      </c>
      <c r="G17">
        <v>54386.400000000001</v>
      </c>
      <c r="H17">
        <v>459931.07</v>
      </c>
      <c r="I17">
        <v>2044415.18</v>
      </c>
      <c r="J17">
        <v>655602.52</v>
      </c>
      <c r="K17">
        <v>119763.19</v>
      </c>
      <c r="L17">
        <v>120151.2</v>
      </c>
      <c r="M17">
        <v>10798851.59</v>
      </c>
      <c r="N17">
        <v>100394.08</v>
      </c>
      <c r="P17">
        <v>530457.46</v>
      </c>
      <c r="Q17">
        <v>3343058.88</v>
      </c>
      <c r="R17">
        <v>379786.44</v>
      </c>
      <c r="S17">
        <v>73269.350000000006</v>
      </c>
      <c r="T17">
        <v>57301.47</v>
      </c>
      <c r="U17">
        <v>3441712.52</v>
      </c>
      <c r="V17">
        <v>497399.76</v>
      </c>
      <c r="W17">
        <v>126670.78</v>
      </c>
      <c r="X17">
        <v>1331484.31</v>
      </c>
      <c r="Y17">
        <v>662949.18999999994</v>
      </c>
      <c r="Z17">
        <v>4594930.17</v>
      </c>
      <c r="AA17">
        <v>391771.94</v>
      </c>
      <c r="AB17">
        <v>2774806.94</v>
      </c>
      <c r="AC17">
        <v>1172243.42</v>
      </c>
      <c r="AD17">
        <v>310383.53000000003</v>
      </c>
      <c r="AE17">
        <v>12077807.48</v>
      </c>
      <c r="AF17">
        <v>206278.32</v>
      </c>
      <c r="AG17">
        <v>655538.75</v>
      </c>
      <c r="AH17">
        <v>1194184.17</v>
      </c>
      <c r="AI17">
        <v>134070.26999999999</v>
      </c>
      <c r="AJ17">
        <v>86116.57</v>
      </c>
      <c r="AK17">
        <v>3179732.83</v>
      </c>
      <c r="AL17">
        <v>2230285.73</v>
      </c>
      <c r="AM17">
        <v>334757.53999999998</v>
      </c>
      <c r="AN17">
        <v>146181.48000000001</v>
      </c>
      <c r="AO17">
        <v>4711164.58</v>
      </c>
      <c r="AP17">
        <v>5350730.12</v>
      </c>
      <c r="AQ17">
        <v>1347962.63</v>
      </c>
      <c r="AR17">
        <v>1312944.04</v>
      </c>
      <c r="AS17">
        <v>1204487.3500000001</v>
      </c>
      <c r="AT17">
        <v>603501.13</v>
      </c>
      <c r="AU17">
        <v>308024.12</v>
      </c>
    </row>
    <row r="18" spans="1:47" x14ac:dyDescent="0.2">
      <c r="A18" t="s">
        <v>38</v>
      </c>
      <c r="B18" t="s">
        <v>159</v>
      </c>
      <c r="C18" t="s">
        <v>12</v>
      </c>
      <c r="D18">
        <v>1059735.7</v>
      </c>
      <c r="E18">
        <v>1337791.2</v>
      </c>
      <c r="F18">
        <v>1219256</v>
      </c>
      <c r="G18">
        <v>1145926.1000000001</v>
      </c>
      <c r="H18">
        <v>3436682.2</v>
      </c>
      <c r="I18">
        <v>4981391.9000000004</v>
      </c>
      <c r="J18">
        <v>2993495.1</v>
      </c>
      <c r="K18">
        <v>511137.7</v>
      </c>
      <c r="L18">
        <v>1254888</v>
      </c>
      <c r="M18">
        <v>9975367</v>
      </c>
      <c r="N18">
        <v>822117.3</v>
      </c>
      <c r="P18">
        <v>3946323.1</v>
      </c>
      <c r="Q18">
        <v>6352153.2999999998</v>
      </c>
      <c r="R18">
        <v>3157060.4</v>
      </c>
      <c r="S18">
        <v>1694701.3</v>
      </c>
      <c r="T18">
        <v>946159.2</v>
      </c>
      <c r="U18">
        <v>6434178.0999999996</v>
      </c>
      <c r="V18">
        <v>2185952.7000000002</v>
      </c>
      <c r="W18">
        <v>1604771.8</v>
      </c>
      <c r="X18">
        <v>5616855.7999999998</v>
      </c>
      <c r="Y18">
        <v>2226367.4</v>
      </c>
      <c r="Z18">
        <v>9801935.5999999996</v>
      </c>
      <c r="AA18">
        <v>1730978.7</v>
      </c>
      <c r="AB18">
        <v>4891050.0999999996</v>
      </c>
      <c r="AC18">
        <v>3253400.7</v>
      </c>
      <c r="AD18">
        <v>1777858.4</v>
      </c>
      <c r="AE18">
        <v>14775372.300000001</v>
      </c>
      <c r="AF18">
        <v>979199.7</v>
      </c>
      <c r="AG18">
        <v>1959815.5</v>
      </c>
      <c r="AH18">
        <v>4273028</v>
      </c>
      <c r="AI18">
        <v>1086267.5</v>
      </c>
      <c r="AJ18">
        <v>1208832.7</v>
      </c>
      <c r="AK18">
        <v>6068080.0999999996</v>
      </c>
      <c r="AL18">
        <v>4359656.2</v>
      </c>
      <c r="AM18">
        <v>1913630.9</v>
      </c>
      <c r="AN18">
        <v>1765711.4</v>
      </c>
      <c r="AO18">
        <v>7368952.7000000002</v>
      </c>
      <c r="AP18">
        <v>6819483.5</v>
      </c>
      <c r="AQ18">
        <v>2464169.7000000002</v>
      </c>
      <c r="AR18">
        <v>3288612.5</v>
      </c>
      <c r="AS18">
        <v>3446084.8</v>
      </c>
      <c r="AT18">
        <v>1771283.9</v>
      </c>
      <c r="AU18">
        <v>1710896.9</v>
      </c>
    </row>
    <row r="19" spans="1:47" x14ac:dyDescent="0.2">
      <c r="A19" t="s">
        <v>26</v>
      </c>
      <c r="C19" t="s">
        <v>98</v>
      </c>
      <c r="D19">
        <v>12738.087762561699</v>
      </c>
      <c r="E19">
        <v>15607.953825364501</v>
      </c>
      <c r="F19">
        <v>10976.764985026201</v>
      </c>
      <c r="G19">
        <v>15503.1168156352</v>
      </c>
      <c r="H19">
        <v>17322.254287578999</v>
      </c>
      <c r="I19">
        <v>11667.6340214843</v>
      </c>
      <c r="J19">
        <v>10161.748233612199</v>
      </c>
      <c r="K19">
        <v>10539.9602743794</v>
      </c>
      <c r="L19">
        <v>11427.5392594402</v>
      </c>
      <c r="M19">
        <v>10001.3128875</v>
      </c>
      <c r="N19">
        <v>13642.9527469637</v>
      </c>
      <c r="P19">
        <v>16643.923408144499</v>
      </c>
      <c r="Q19">
        <v>15426.1736785432</v>
      </c>
      <c r="R19">
        <v>9856.8154391593307</v>
      </c>
      <c r="S19">
        <v>14933.254535534799</v>
      </c>
      <c r="T19">
        <v>14443.9337341921</v>
      </c>
      <c r="U19">
        <v>10114.0359516358</v>
      </c>
      <c r="V19">
        <v>10104.322987194601</v>
      </c>
      <c r="W19">
        <v>10427.089898600099</v>
      </c>
      <c r="X19">
        <v>12590.127047109399</v>
      </c>
      <c r="Y19">
        <v>9132.7933017953601</v>
      </c>
      <c r="Z19">
        <v>11331.3087642996</v>
      </c>
      <c r="AA19">
        <v>19126.093067319202</v>
      </c>
      <c r="AB19">
        <v>15031.1359291442</v>
      </c>
      <c r="AC19">
        <v>12569.3548279798</v>
      </c>
      <c r="AD19">
        <v>11331.3907686402</v>
      </c>
      <c r="AE19">
        <v>15525.865085444801</v>
      </c>
      <c r="AF19">
        <v>15760.954689575099</v>
      </c>
      <c r="AG19">
        <v>11479.599791045201</v>
      </c>
      <c r="AH19">
        <v>13736.9291329102</v>
      </c>
      <c r="AI19">
        <v>15065.355057569501</v>
      </c>
      <c r="AJ19">
        <v>8058.5950321691398</v>
      </c>
      <c r="AK19">
        <v>14064.6331296387</v>
      </c>
      <c r="AL19">
        <v>12978.644180715301</v>
      </c>
      <c r="AM19">
        <v>9965.8117772645292</v>
      </c>
      <c r="AN19">
        <v>17091.1087508499</v>
      </c>
      <c r="AO19">
        <v>14408.7312529834</v>
      </c>
      <c r="AP19">
        <v>12035.640572562899</v>
      </c>
      <c r="AQ19">
        <v>11125.639368657399</v>
      </c>
      <c r="AR19">
        <v>7688.7445156250797</v>
      </c>
      <c r="AS19">
        <v>8241.8464883980705</v>
      </c>
      <c r="AT19">
        <v>9332.4475186121508</v>
      </c>
      <c r="AU19">
        <v>9615.4134246651392</v>
      </c>
    </row>
    <row r="20" spans="1:47" x14ac:dyDescent="0.2">
      <c r="C20" t="s">
        <v>99</v>
      </c>
      <c r="D20" s="2">
        <v>347640.63872166298</v>
      </c>
      <c r="E20" s="2">
        <v>354177.26607216499</v>
      </c>
      <c r="F20" s="2">
        <v>381383.677638227</v>
      </c>
      <c r="G20" s="2">
        <v>358458.96952157503</v>
      </c>
      <c r="H20" s="2">
        <v>359780.09770503599</v>
      </c>
      <c r="I20" s="2">
        <v>449329.028722741</v>
      </c>
      <c r="J20" s="2">
        <v>357656.66768710798</v>
      </c>
      <c r="K20" s="2">
        <v>379710.33763373399</v>
      </c>
      <c r="L20" s="2">
        <v>359039.87972078501</v>
      </c>
      <c r="M20" s="2">
        <v>359164.09747562202</v>
      </c>
      <c r="N20" s="2">
        <v>352785.49858652003</v>
      </c>
      <c r="O20" s="2"/>
      <c r="P20" s="2">
        <v>334956.71752679697</v>
      </c>
      <c r="Q20" s="2">
        <v>393206.37235931703</v>
      </c>
      <c r="R20" s="2">
        <v>367186.39041299402</v>
      </c>
      <c r="S20" s="2">
        <v>357635.56417210301</v>
      </c>
      <c r="T20" s="2">
        <v>348256.49110345298</v>
      </c>
      <c r="U20" s="2">
        <v>379905.21043555898</v>
      </c>
      <c r="V20" s="2">
        <v>354462.64364388498</v>
      </c>
      <c r="W20" s="2">
        <v>364676.28928012401</v>
      </c>
      <c r="X20" s="2">
        <v>332766.881351683</v>
      </c>
      <c r="Y20" s="2">
        <v>341286.20109229098</v>
      </c>
      <c r="Z20" s="2">
        <v>330024.41151922999</v>
      </c>
      <c r="AA20" s="2">
        <v>352812.33544519998</v>
      </c>
      <c r="AB20" s="2">
        <v>363208.37694185902</v>
      </c>
      <c r="AC20" s="2">
        <v>346442.12066063401</v>
      </c>
      <c r="AD20" s="2">
        <v>351405.22526160697</v>
      </c>
      <c r="AE20" s="2">
        <v>357400.18760524498</v>
      </c>
      <c r="AF20" s="2">
        <v>333515.69136904803</v>
      </c>
      <c r="AG20" s="2">
        <v>355771.55770120298</v>
      </c>
      <c r="AH20" s="2">
        <v>365819.503050656</v>
      </c>
      <c r="AI20" s="2">
        <v>368652.56399141898</v>
      </c>
      <c r="AJ20" s="2">
        <v>329963.38088214298</v>
      </c>
      <c r="AK20" s="2">
        <v>414189.74656153802</v>
      </c>
      <c r="AL20" s="2">
        <v>353564.35375188501</v>
      </c>
      <c r="AM20" s="2">
        <v>390457.54016553098</v>
      </c>
      <c r="AN20" s="2">
        <v>400782.28300762101</v>
      </c>
      <c r="AO20" s="2">
        <v>358585.71852932201</v>
      </c>
      <c r="AP20" s="2">
        <v>382952.485802187</v>
      </c>
      <c r="AQ20" s="2">
        <v>353701.67389597697</v>
      </c>
      <c r="AR20" s="2">
        <v>369577.49214466597</v>
      </c>
      <c r="AS20" s="2">
        <v>334922.207001578</v>
      </c>
      <c r="AT20" s="2">
        <v>369355.48017777601</v>
      </c>
      <c r="AU20" s="2">
        <v>353808.750035003</v>
      </c>
    </row>
    <row r="21" spans="1:47" x14ac:dyDescent="0.2">
      <c r="C21" t="s">
        <v>100</v>
      </c>
      <c r="D21" s="2">
        <v>2142591.1465612301</v>
      </c>
      <c r="E21" s="2">
        <v>1850542.16676224</v>
      </c>
      <c r="F21" s="2">
        <v>2094700.5539954</v>
      </c>
      <c r="G21" s="2">
        <v>2159923.4006178002</v>
      </c>
      <c r="H21" s="2">
        <v>1599865.9225448701</v>
      </c>
      <c r="I21" s="2">
        <v>2575566.2320164</v>
      </c>
      <c r="J21" s="2">
        <v>1955856.14179888</v>
      </c>
      <c r="K21" s="2">
        <v>2295239.1065459601</v>
      </c>
      <c r="L21" s="2">
        <v>1715387.3671293</v>
      </c>
      <c r="M21" s="2">
        <v>2509662.97619172</v>
      </c>
      <c r="N21" s="2">
        <v>2573852.92573357</v>
      </c>
      <c r="O21" s="2"/>
      <c r="P21" s="2">
        <v>2065013.48990984</v>
      </c>
      <c r="Q21" s="2">
        <v>2165155.41037978</v>
      </c>
      <c r="R21" s="2">
        <v>2829765.7906660498</v>
      </c>
      <c r="S21" s="2">
        <v>2108927.0971634001</v>
      </c>
      <c r="T21" s="2">
        <v>1742280.0595369199</v>
      </c>
      <c r="U21" s="2">
        <v>2271109.68093892</v>
      </c>
      <c r="V21" s="2">
        <v>2597027.5325459498</v>
      </c>
      <c r="W21" s="2">
        <v>2127182.8828197801</v>
      </c>
      <c r="X21" s="2">
        <v>1832857.56196388</v>
      </c>
      <c r="Y21" s="2">
        <v>3144520.3192484202</v>
      </c>
      <c r="Z21" s="2">
        <v>2180262.07811984</v>
      </c>
      <c r="AA21" s="2">
        <v>3137421.62636205</v>
      </c>
      <c r="AB21" s="2">
        <v>3097988.9791622302</v>
      </c>
      <c r="AC21" s="2">
        <v>2836213.3052586801</v>
      </c>
      <c r="AD21" s="2">
        <v>4176643.9405805501</v>
      </c>
      <c r="AE21" s="2">
        <v>3555616.7232477898</v>
      </c>
      <c r="AF21" s="2">
        <v>3256553.6953481301</v>
      </c>
      <c r="AG21" s="2">
        <v>2997100.8516412801</v>
      </c>
      <c r="AH21" s="2">
        <v>3294652.2114661899</v>
      </c>
      <c r="AI21" s="2">
        <v>3317209.6440756698</v>
      </c>
      <c r="AJ21" s="2">
        <v>3266069.5213638199</v>
      </c>
      <c r="AK21" s="2">
        <v>3803648.98063272</v>
      </c>
      <c r="AL21" s="2">
        <v>4012321.31164457</v>
      </c>
      <c r="AM21" s="2">
        <v>2956306.1748472298</v>
      </c>
      <c r="AN21" s="2">
        <v>3417103.6906070202</v>
      </c>
      <c r="AO21" s="2">
        <v>3944790.8689585002</v>
      </c>
      <c r="AP21" s="2">
        <v>3759013.4091837802</v>
      </c>
      <c r="AQ21" s="2">
        <v>3649536.86916812</v>
      </c>
      <c r="AR21" s="2">
        <v>3934690.6194615699</v>
      </c>
      <c r="AS21" s="2">
        <v>3208652.0143092498</v>
      </c>
      <c r="AT21" s="2">
        <v>3728075.6587417098</v>
      </c>
      <c r="AU21" s="2">
        <v>3442767.6007140498</v>
      </c>
    </row>
    <row r="22" spans="1:47" x14ac:dyDescent="0.2">
      <c r="C22" t="s">
        <v>101</v>
      </c>
      <c r="D22" s="2">
        <v>3686.9624342184502</v>
      </c>
      <c r="E22" s="2">
        <v>1710.57147662278</v>
      </c>
      <c r="F22" s="2">
        <v>2249.57616613849</v>
      </c>
      <c r="G22" s="2">
        <v>2704.2869202101801</v>
      </c>
      <c r="H22" s="2">
        <v>3226.1609775779498</v>
      </c>
      <c r="I22" s="2">
        <v>2754.4820794963398</v>
      </c>
      <c r="J22" s="2">
        <v>3858.8636689789801</v>
      </c>
      <c r="K22" s="2">
        <v>3600.2089835905099</v>
      </c>
      <c r="L22" s="2">
        <v>1471.2641545116501</v>
      </c>
      <c r="M22" s="2">
        <v>2755.56894690849</v>
      </c>
      <c r="N22" s="2">
        <v>1812.9830093046301</v>
      </c>
      <c r="O22" s="2"/>
      <c r="P22" s="2">
        <v>3015.7660816825</v>
      </c>
      <c r="Q22" s="2">
        <v>3296.1805803202501</v>
      </c>
      <c r="R22" s="2">
        <v>3297.4836109437201</v>
      </c>
      <c r="S22" s="2">
        <v>4029.7843031487901</v>
      </c>
      <c r="T22" s="2">
        <v>2897.6200178855802</v>
      </c>
      <c r="U22" s="2">
        <v>3550.6864582169001</v>
      </c>
      <c r="V22" s="2">
        <v>4708.8718031024</v>
      </c>
      <c r="W22" s="2">
        <v>3369.2161636972401</v>
      </c>
      <c r="X22" s="2">
        <v>1861.1096159553899</v>
      </c>
      <c r="Y22" s="2">
        <v>2198.1426080398101</v>
      </c>
      <c r="Z22" s="2">
        <v>3935.8003694845702</v>
      </c>
      <c r="AA22" s="2">
        <v>4576.6044681020403</v>
      </c>
      <c r="AB22" s="2">
        <v>4063.6184968145299</v>
      </c>
      <c r="AC22" s="2">
        <v>3630.05392736983</v>
      </c>
      <c r="AD22" s="2">
        <v>7111.72947123418</v>
      </c>
      <c r="AE22" s="2">
        <v>2805.8135558869299</v>
      </c>
      <c r="AF22" s="2">
        <v>7713.0074628269103</v>
      </c>
      <c r="AG22" s="2">
        <v>3238.3067866645601</v>
      </c>
      <c r="AH22" s="2">
        <v>5088.5390384571701</v>
      </c>
      <c r="AI22" s="2">
        <v>5486.0076052192398</v>
      </c>
      <c r="AJ22" s="2">
        <v>9094.8629839352507</v>
      </c>
      <c r="AK22" s="2">
        <v>4430.9516520085299</v>
      </c>
      <c r="AL22" s="2">
        <v>8579.0765280055093</v>
      </c>
      <c r="AM22" s="2">
        <v>7217.6000093435196</v>
      </c>
      <c r="AN22" s="2">
        <v>5807.0677517040704</v>
      </c>
      <c r="AO22" s="2">
        <v>7040.7488970481099</v>
      </c>
      <c r="AP22" s="2">
        <v>6710.92157608053</v>
      </c>
      <c r="AQ22" s="2">
        <v>6554.6485681557997</v>
      </c>
      <c r="AR22" s="2">
        <v>4739.2266359436599</v>
      </c>
      <c r="AS22" s="2">
        <v>9232.3821519473404</v>
      </c>
      <c r="AT22" s="2">
        <v>6276.3462315552297</v>
      </c>
      <c r="AU22" s="2">
        <v>7670.30550748935</v>
      </c>
    </row>
    <row r="25" spans="1:47" x14ac:dyDescent="0.2">
      <c r="C25" s="1" t="s">
        <v>42</v>
      </c>
      <c r="D25" s="1"/>
      <c r="E25" s="1"/>
      <c r="F25" s="1"/>
    </row>
    <row r="26" spans="1:47" x14ac:dyDescent="0.2">
      <c r="C26" t="s">
        <v>102</v>
      </c>
    </row>
    <row r="27" spans="1:47" x14ac:dyDescent="0.2">
      <c r="C27" t="s">
        <v>103</v>
      </c>
    </row>
    <row r="29" spans="1:47" x14ac:dyDescent="0.2">
      <c r="D29" t="s">
        <v>46</v>
      </c>
      <c r="E29" t="s">
        <v>47</v>
      </c>
      <c r="F29" t="s">
        <v>48</v>
      </c>
      <c r="G29" t="s">
        <v>49</v>
      </c>
      <c r="H29" t="s">
        <v>50</v>
      </c>
      <c r="I29" t="s">
        <v>51</v>
      </c>
      <c r="J29" t="s">
        <v>52</v>
      </c>
      <c r="K29" t="s">
        <v>53</v>
      </c>
      <c r="L29" t="s">
        <v>54</v>
      </c>
      <c r="M29" t="s">
        <v>55</v>
      </c>
      <c r="N29" t="s">
        <v>56</v>
      </c>
      <c r="P29" t="s">
        <v>57</v>
      </c>
      <c r="Q29" t="s">
        <v>58</v>
      </c>
      <c r="R29" t="s">
        <v>59</v>
      </c>
      <c r="S29" t="s">
        <v>60</v>
      </c>
      <c r="T29" t="s">
        <v>61</v>
      </c>
      <c r="U29" t="s">
        <v>62</v>
      </c>
      <c r="V29" t="s">
        <v>63</v>
      </c>
      <c r="W29" t="s">
        <v>64</v>
      </c>
      <c r="X29" t="s">
        <v>65</v>
      </c>
      <c r="Y29" t="s">
        <v>66</v>
      </c>
      <c r="Z29" t="s">
        <v>67</v>
      </c>
      <c r="AA29" t="s">
        <v>68</v>
      </c>
      <c r="AB29" t="s">
        <v>69</v>
      </c>
      <c r="AC29" t="s">
        <v>70</v>
      </c>
      <c r="AD29" t="s">
        <v>71</v>
      </c>
      <c r="AE29" t="s">
        <v>72</v>
      </c>
      <c r="AF29" t="s">
        <v>73</v>
      </c>
      <c r="AG29" t="s">
        <v>74</v>
      </c>
      <c r="AH29" t="s">
        <v>75</v>
      </c>
      <c r="AI29" t="s">
        <v>76</v>
      </c>
      <c r="AJ29" t="s">
        <v>77</v>
      </c>
      <c r="AK29" t="s">
        <v>78</v>
      </c>
      <c r="AL29" t="s">
        <v>79</v>
      </c>
      <c r="AM29" t="s">
        <v>80</v>
      </c>
      <c r="AN29" t="s">
        <v>81</v>
      </c>
      <c r="AO29" t="s">
        <v>82</v>
      </c>
      <c r="AP29" t="s">
        <v>83</v>
      </c>
      <c r="AQ29" t="s">
        <v>84</v>
      </c>
      <c r="AR29" t="s">
        <v>85</v>
      </c>
      <c r="AS29" t="s">
        <v>86</v>
      </c>
      <c r="AT29" t="s">
        <v>87</v>
      </c>
      <c r="AU29" t="s">
        <v>88</v>
      </c>
    </row>
    <row r="30" spans="1:47" x14ac:dyDescent="0.2">
      <c r="A30" t="s">
        <v>37</v>
      </c>
      <c r="B30" t="s">
        <v>158</v>
      </c>
      <c r="C30" t="s">
        <v>89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</row>
    <row r="31" spans="1:47" x14ac:dyDescent="0.2">
      <c r="A31" t="s">
        <v>39</v>
      </c>
      <c r="B31" t="s">
        <v>160</v>
      </c>
      <c r="C31" t="s">
        <v>91</v>
      </c>
      <c r="D31">
        <v>0.59902829499999999</v>
      </c>
      <c r="E31">
        <v>0.37591775700000002</v>
      </c>
      <c r="F31">
        <v>0.61398198900000001</v>
      </c>
      <c r="G31">
        <v>0.23126117400000001</v>
      </c>
      <c r="H31">
        <v>1.0563870440000001</v>
      </c>
      <c r="I31">
        <v>0.81015465399999997</v>
      </c>
      <c r="J31">
        <v>1.189393175</v>
      </c>
      <c r="K31">
        <v>0.175457587</v>
      </c>
      <c r="L31">
        <v>0.41841501399999997</v>
      </c>
      <c r="M31">
        <v>0.38133883499999999</v>
      </c>
      <c r="N31">
        <v>8.0673225000000001E-2</v>
      </c>
      <c r="P31">
        <v>1.6334022530000001</v>
      </c>
      <c r="Q31">
        <v>0.99420655599999996</v>
      </c>
      <c r="R31">
        <v>2.0574160209999999</v>
      </c>
      <c r="S31">
        <v>0.80607545899999999</v>
      </c>
      <c r="T31">
        <v>7.6979791000000006E-2</v>
      </c>
      <c r="U31">
        <v>1.1499266029999999</v>
      </c>
      <c r="V31">
        <v>0.185740401</v>
      </c>
      <c r="W31">
        <v>0.73673527999999999</v>
      </c>
      <c r="X31">
        <v>0.92530503900000005</v>
      </c>
      <c r="Y31">
        <v>0.83161851499999995</v>
      </c>
      <c r="Z31">
        <v>0.75382457400000003</v>
      </c>
      <c r="AA31">
        <v>0.40023176599999999</v>
      </c>
      <c r="AB31">
        <v>0.44337035000000002</v>
      </c>
      <c r="AC31">
        <v>0.69958045700000004</v>
      </c>
      <c r="AD31">
        <v>0.57819098599999996</v>
      </c>
      <c r="AE31">
        <v>0.40126388899999998</v>
      </c>
      <c r="AF31">
        <v>0.145994138</v>
      </c>
      <c r="AG31">
        <v>0.81311162100000001</v>
      </c>
      <c r="AH31">
        <v>0.98110733999999999</v>
      </c>
      <c r="AI31">
        <v>0.281509595</v>
      </c>
      <c r="AJ31">
        <v>0.51252420300000001</v>
      </c>
      <c r="AK31">
        <v>1.3774160209999999</v>
      </c>
      <c r="AL31">
        <v>0.54824355300000005</v>
      </c>
      <c r="AM31">
        <v>0.95392409700000003</v>
      </c>
      <c r="AN31">
        <v>0.42249599500000001</v>
      </c>
      <c r="AO31">
        <v>0.941117282</v>
      </c>
      <c r="AP31">
        <v>0.97770575100000001</v>
      </c>
      <c r="AQ31">
        <v>0.62048236300000004</v>
      </c>
      <c r="AR31">
        <v>1.884406612</v>
      </c>
      <c r="AS31">
        <v>2.3080615519999998</v>
      </c>
      <c r="AT31">
        <v>0.58265990700000003</v>
      </c>
      <c r="AU31">
        <v>1.44125649</v>
      </c>
    </row>
    <row r="32" spans="1:47" x14ac:dyDescent="0.2">
      <c r="A32" t="s">
        <v>38</v>
      </c>
      <c r="B32" t="s">
        <v>160</v>
      </c>
      <c r="C32" t="s">
        <v>8</v>
      </c>
      <c r="D32">
        <v>1.8078470200000001</v>
      </c>
      <c r="E32">
        <v>2.2381779439999998</v>
      </c>
      <c r="F32">
        <v>2.5441024780000001</v>
      </c>
      <c r="G32">
        <v>1.235407385</v>
      </c>
      <c r="H32">
        <v>3.139154875</v>
      </c>
      <c r="I32">
        <v>4.2462089489999997</v>
      </c>
      <c r="J32">
        <v>3.170031796</v>
      </c>
      <c r="K32">
        <v>0.60797420800000002</v>
      </c>
      <c r="L32">
        <v>1.9897194389999999</v>
      </c>
      <c r="M32">
        <v>3.6812205969999998</v>
      </c>
      <c r="N32">
        <v>0.64996223099999995</v>
      </c>
      <c r="P32">
        <v>4.2882213680000003</v>
      </c>
      <c r="Q32">
        <v>5.5932272510000001</v>
      </c>
      <c r="R32">
        <v>6.3496150849999999</v>
      </c>
      <c r="S32">
        <v>2.887347825</v>
      </c>
      <c r="T32">
        <v>0.96672611900000005</v>
      </c>
      <c r="U32">
        <v>5.43563581</v>
      </c>
      <c r="V32">
        <v>2.5403245750000001</v>
      </c>
      <c r="W32">
        <v>2.375471895</v>
      </c>
      <c r="X32">
        <v>4.0315208739999999</v>
      </c>
      <c r="Y32">
        <v>2.6589071049999999</v>
      </c>
      <c r="Z32">
        <v>4.0320473960000003</v>
      </c>
      <c r="AA32">
        <v>0.98726284200000003</v>
      </c>
      <c r="AB32">
        <v>1.741864096</v>
      </c>
      <c r="AC32">
        <v>2.8781773209999999</v>
      </c>
      <c r="AD32">
        <v>2.8367911459999999</v>
      </c>
      <c r="AE32">
        <v>4.5688645760000002</v>
      </c>
      <c r="AF32">
        <v>0.49857322399999998</v>
      </c>
      <c r="AG32">
        <v>2.2671417539999998</v>
      </c>
      <c r="AH32">
        <v>3.61004039</v>
      </c>
      <c r="AI32">
        <v>1.8080322630000001</v>
      </c>
      <c r="AJ32">
        <v>2.2724101320000001</v>
      </c>
      <c r="AK32">
        <v>3.9693471910000002</v>
      </c>
      <c r="AL32">
        <v>3.3864101199999999</v>
      </c>
      <c r="AM32">
        <v>2.8557188949999999</v>
      </c>
      <c r="AN32">
        <v>2.0748552660000001</v>
      </c>
      <c r="AO32">
        <v>3.1747124150000001</v>
      </c>
      <c r="AP32">
        <v>3.0440201149999999</v>
      </c>
      <c r="AQ32">
        <v>2.3659957980000001</v>
      </c>
      <c r="AR32">
        <v>5.8494196169999997</v>
      </c>
      <c r="AS32">
        <v>5.1167087450000004</v>
      </c>
      <c r="AT32">
        <v>2.429943159</v>
      </c>
      <c r="AU32">
        <v>12.574137970000001</v>
      </c>
    </row>
    <row r="33" spans="1:47" x14ac:dyDescent="0.2">
      <c r="A33" t="s">
        <v>38</v>
      </c>
      <c r="B33" t="s">
        <v>160</v>
      </c>
      <c r="C33" t="s">
        <v>92</v>
      </c>
      <c r="D33">
        <v>2.7414475899999999</v>
      </c>
      <c r="E33">
        <v>1.5178639220000001</v>
      </c>
      <c r="F33">
        <v>6.6063863170000001</v>
      </c>
      <c r="G33">
        <v>1.5521175700000001</v>
      </c>
      <c r="H33">
        <v>4.366424759</v>
      </c>
      <c r="I33">
        <v>4.4992900789999997</v>
      </c>
      <c r="J33">
        <v>3.7333438229999998</v>
      </c>
      <c r="K33">
        <v>3.0574802139999999</v>
      </c>
      <c r="L33">
        <v>3.4436757650000001</v>
      </c>
      <c r="M33">
        <v>2.9972574939999999</v>
      </c>
      <c r="N33">
        <v>1.099855748</v>
      </c>
      <c r="P33">
        <v>7.1479300329999997</v>
      </c>
      <c r="Q33">
        <v>10.28930461</v>
      </c>
      <c r="R33">
        <v>5.2534959509999997</v>
      </c>
      <c r="S33">
        <v>3.4810034129999998</v>
      </c>
      <c r="T33">
        <v>1.573257702</v>
      </c>
      <c r="U33">
        <v>0.13104906899999999</v>
      </c>
      <c r="V33">
        <v>3.7600000000000003E-9</v>
      </c>
      <c r="W33">
        <v>1.8664085749999999</v>
      </c>
      <c r="X33">
        <v>1.370664485</v>
      </c>
      <c r="Y33">
        <v>1.8088179</v>
      </c>
      <c r="Z33">
        <v>3.1310513850000001</v>
      </c>
      <c r="AA33">
        <v>1.8818260410000001</v>
      </c>
      <c r="AB33">
        <v>1.4052850100000001</v>
      </c>
      <c r="AC33">
        <v>2.6388283609999998</v>
      </c>
      <c r="AD33">
        <v>2.060424045</v>
      </c>
      <c r="AE33">
        <v>2.117610827</v>
      </c>
      <c r="AF33">
        <v>2.4100000000000002E-9</v>
      </c>
      <c r="AG33">
        <v>0.709496075</v>
      </c>
      <c r="AH33">
        <v>0.40490061100000002</v>
      </c>
      <c r="AI33">
        <v>0.42866570199999998</v>
      </c>
      <c r="AJ33">
        <v>0.39931749700000002</v>
      </c>
      <c r="AK33">
        <v>1.8901488399999999</v>
      </c>
      <c r="AL33">
        <v>1.799375934</v>
      </c>
      <c r="AM33">
        <v>1.0580813920000001</v>
      </c>
      <c r="AN33">
        <v>0.67925669200000005</v>
      </c>
      <c r="AO33">
        <v>2.6299999999999998E-9</v>
      </c>
      <c r="AP33">
        <v>1.202542558</v>
      </c>
      <c r="AQ33">
        <v>0.802256635</v>
      </c>
      <c r="AR33">
        <v>3.8376018269999999</v>
      </c>
      <c r="AS33">
        <v>3.5565877189999999</v>
      </c>
      <c r="AT33">
        <v>0.87792521599999995</v>
      </c>
      <c r="AU33">
        <v>18.628902579999998</v>
      </c>
    </row>
    <row r="34" spans="1:47" x14ac:dyDescent="0.2">
      <c r="A34" t="s">
        <v>38</v>
      </c>
      <c r="B34" t="s">
        <v>160</v>
      </c>
      <c r="C34" t="s">
        <v>93</v>
      </c>
      <c r="D34">
        <v>2.8953396059999998</v>
      </c>
      <c r="E34">
        <v>3.5283606430000001</v>
      </c>
      <c r="F34">
        <v>4.6970450829999999</v>
      </c>
      <c r="G34">
        <v>2.1764133239999999</v>
      </c>
      <c r="H34">
        <v>6.7302123649999999</v>
      </c>
      <c r="I34">
        <v>8.1204278280000004</v>
      </c>
      <c r="J34">
        <v>6.6044019650000001</v>
      </c>
      <c r="K34">
        <v>1.6185203319999999</v>
      </c>
      <c r="L34">
        <v>4.3798536910000001</v>
      </c>
      <c r="M34">
        <v>7.9019975569999996</v>
      </c>
      <c r="N34">
        <v>1.494356858</v>
      </c>
      <c r="P34">
        <v>7.8779580259999999</v>
      </c>
      <c r="Q34">
        <v>12.040596320000001</v>
      </c>
      <c r="R34">
        <v>12.121125810000001</v>
      </c>
      <c r="S34">
        <v>5.0380926559999999</v>
      </c>
      <c r="T34">
        <v>1.687721673</v>
      </c>
      <c r="U34">
        <v>16.64383544</v>
      </c>
      <c r="V34">
        <v>7.0050007399999998</v>
      </c>
      <c r="W34">
        <v>3.5130185269999998</v>
      </c>
      <c r="X34">
        <v>10.10629675</v>
      </c>
      <c r="Y34">
        <v>8.6057843859999998</v>
      </c>
      <c r="Z34">
        <v>11.230692120000001</v>
      </c>
      <c r="AA34">
        <v>3.3620839220000001</v>
      </c>
      <c r="AB34">
        <v>5.7377127320000003</v>
      </c>
      <c r="AC34">
        <v>8.8140212059999996</v>
      </c>
      <c r="AD34">
        <v>5.3961213810000004</v>
      </c>
      <c r="AE34">
        <v>6.7670760640000003</v>
      </c>
      <c r="AF34">
        <v>2.3425992099999999</v>
      </c>
      <c r="AG34">
        <v>4.9203448749999996</v>
      </c>
      <c r="AH34">
        <v>10.91824589</v>
      </c>
      <c r="AI34">
        <v>3.8491996890000002</v>
      </c>
      <c r="AJ34">
        <v>4.6042082830000002</v>
      </c>
      <c r="AK34">
        <v>11.772276489999999</v>
      </c>
      <c r="AL34">
        <v>7.4011929649999999</v>
      </c>
      <c r="AM34">
        <v>5.4632388430000001</v>
      </c>
      <c r="AN34">
        <v>4.0926654329999996</v>
      </c>
      <c r="AO34">
        <v>11.3376693</v>
      </c>
      <c r="AP34">
        <v>12.45369693</v>
      </c>
      <c r="AQ34">
        <v>6.7115279870000002</v>
      </c>
      <c r="AR34">
        <v>17.672590069999998</v>
      </c>
      <c r="AS34">
        <v>14.1913211</v>
      </c>
      <c r="AT34">
        <v>7.7525740010000002</v>
      </c>
      <c r="AU34">
        <v>7.8998069710000003</v>
      </c>
    </row>
    <row r="35" spans="1:47" x14ac:dyDescent="0.2">
      <c r="A35" t="s">
        <v>38</v>
      </c>
      <c r="B35" t="s">
        <v>160</v>
      </c>
      <c r="C35" t="s">
        <v>94</v>
      </c>
      <c r="D35">
        <v>8.2768396610000003</v>
      </c>
      <c r="E35">
        <v>15.480811429999999</v>
      </c>
      <c r="F35">
        <v>21.557109069999999</v>
      </c>
      <c r="G35">
        <v>6.3529844459999998</v>
      </c>
      <c r="H35">
        <v>18.786833089999998</v>
      </c>
      <c r="I35">
        <v>34.775100010000003</v>
      </c>
      <c r="J35">
        <v>18.044450210000001</v>
      </c>
      <c r="K35">
        <v>8.8697326709999995</v>
      </c>
      <c r="L35">
        <v>22.497665869999999</v>
      </c>
      <c r="M35">
        <v>23.034373850000001</v>
      </c>
      <c r="N35">
        <v>4.8575386299999996</v>
      </c>
      <c r="P35">
        <v>29.022927960000001</v>
      </c>
      <c r="Q35">
        <v>34.1109358</v>
      </c>
      <c r="R35">
        <v>32.928421149999998</v>
      </c>
      <c r="S35">
        <v>18.917921700000001</v>
      </c>
      <c r="T35">
        <v>4.2704329120000004</v>
      </c>
      <c r="U35">
        <v>65.626059979999994</v>
      </c>
      <c r="V35">
        <v>26.16529384</v>
      </c>
      <c r="W35">
        <v>12.46934392</v>
      </c>
      <c r="X35">
        <v>33.459298580000002</v>
      </c>
      <c r="Y35">
        <v>33.771422370000003</v>
      </c>
      <c r="Z35">
        <v>22.901739370000001</v>
      </c>
      <c r="AA35">
        <v>22.77442594</v>
      </c>
      <c r="AB35">
        <v>30.563577639999998</v>
      </c>
      <c r="AC35">
        <v>30.462758449999999</v>
      </c>
      <c r="AD35">
        <v>21.797455849999999</v>
      </c>
      <c r="AE35">
        <v>13.68507705</v>
      </c>
      <c r="AF35">
        <v>17.921791890000002</v>
      </c>
      <c r="AG35">
        <v>40.94906082</v>
      </c>
      <c r="AH35">
        <v>54.170185549999999</v>
      </c>
      <c r="AI35">
        <v>31.195025820000001</v>
      </c>
      <c r="AJ35">
        <v>18.133129830000001</v>
      </c>
      <c r="AK35">
        <v>69.061620099999999</v>
      </c>
      <c r="AL35">
        <v>44.919487109999999</v>
      </c>
      <c r="AM35">
        <v>32.23768492</v>
      </c>
      <c r="AN35">
        <v>29.881706179999998</v>
      </c>
      <c r="AO35">
        <v>42.546166569999997</v>
      </c>
      <c r="AP35">
        <v>49.891410960000002</v>
      </c>
      <c r="AQ35">
        <v>38.59634002</v>
      </c>
      <c r="AR35">
        <v>94.946519359999996</v>
      </c>
      <c r="AS35">
        <v>79.024172669999999</v>
      </c>
      <c r="AT35">
        <v>44.420389100000001</v>
      </c>
      <c r="AU35">
        <v>24.601783569999998</v>
      </c>
    </row>
    <row r="36" spans="1:47" x14ac:dyDescent="0.2">
      <c r="A36" t="s">
        <v>39</v>
      </c>
      <c r="B36" t="s">
        <v>159</v>
      </c>
      <c r="C36" t="s">
        <v>179</v>
      </c>
      <c r="D36">
        <v>5.4572633899999996</v>
      </c>
      <c r="E36">
        <v>5.9786145609999997</v>
      </c>
      <c r="F36">
        <v>7.6762725730000003</v>
      </c>
      <c r="G36">
        <v>5.2366998819999999</v>
      </c>
      <c r="H36">
        <v>13.25581972</v>
      </c>
      <c r="I36">
        <v>27.082295299999998</v>
      </c>
      <c r="J36">
        <v>14.98954279</v>
      </c>
      <c r="K36">
        <v>2.4513764120000001</v>
      </c>
      <c r="L36">
        <v>6.4394414519999996</v>
      </c>
      <c r="M36">
        <v>101.0076608</v>
      </c>
      <c r="N36">
        <v>4.3934323539999998</v>
      </c>
      <c r="P36">
        <v>16.596055100000001</v>
      </c>
      <c r="Q36">
        <v>48.63841712</v>
      </c>
      <c r="R36">
        <v>23.082267430000002</v>
      </c>
      <c r="S36">
        <v>5.806616354</v>
      </c>
      <c r="T36">
        <v>3.4581915790000002</v>
      </c>
      <c r="U36">
        <v>68.876046450000004</v>
      </c>
      <c r="V36">
        <v>14.256276270000001</v>
      </c>
      <c r="W36">
        <v>9.1971902930000002</v>
      </c>
      <c r="X36">
        <v>29.27751949</v>
      </c>
      <c r="Y36">
        <v>13.94441391</v>
      </c>
      <c r="Z36">
        <v>80.248328670000006</v>
      </c>
      <c r="AA36">
        <v>6.3218253500000001</v>
      </c>
      <c r="AB36">
        <v>22.386196999999999</v>
      </c>
      <c r="AC36">
        <v>25.710706269999999</v>
      </c>
      <c r="AD36">
        <v>10.61370775</v>
      </c>
      <c r="AE36">
        <v>109.1603451</v>
      </c>
      <c r="AF36">
        <v>2.7858280710000001</v>
      </c>
      <c r="AG36">
        <v>9.1962726860000004</v>
      </c>
      <c r="AH36">
        <v>18.106183529999999</v>
      </c>
      <c r="AI36">
        <v>3.9019545029999998</v>
      </c>
      <c r="AJ36">
        <v>8.4448095139999992</v>
      </c>
      <c r="AK36">
        <v>26.690775120000001</v>
      </c>
      <c r="AL36">
        <v>17.026162129999999</v>
      </c>
      <c r="AM36">
        <v>9.3372243099999999</v>
      </c>
      <c r="AN36">
        <v>4.2250857479999997</v>
      </c>
      <c r="AO36">
        <v>48.533295379999998</v>
      </c>
      <c r="AP36">
        <v>68.710339509999997</v>
      </c>
      <c r="AQ36">
        <v>16.137000669999999</v>
      </c>
      <c r="AR36">
        <v>40.461651359999998</v>
      </c>
      <c r="AS36">
        <v>28.847248050000001</v>
      </c>
      <c r="AT36">
        <v>14.35478097</v>
      </c>
      <c r="AU36">
        <v>13.416511</v>
      </c>
    </row>
    <row r="37" spans="1:47" x14ac:dyDescent="0.2">
      <c r="A37" t="s">
        <v>39</v>
      </c>
      <c r="B37" t="s">
        <v>159</v>
      </c>
      <c r="C37" t="s">
        <v>9</v>
      </c>
      <c r="D37">
        <v>3.713467444</v>
      </c>
      <c r="E37">
        <v>2.1392105570000002</v>
      </c>
      <c r="F37">
        <v>5.2326538989999998</v>
      </c>
      <c r="G37">
        <v>1.4336614409999999</v>
      </c>
      <c r="H37">
        <v>2.8447270709999999</v>
      </c>
      <c r="I37">
        <v>7.5767000519999996</v>
      </c>
      <c r="J37">
        <v>6.1262806620000001</v>
      </c>
      <c r="K37">
        <v>2.2559833419999999</v>
      </c>
      <c r="L37">
        <v>2.682667205</v>
      </c>
      <c r="M37">
        <v>33.428016380000003</v>
      </c>
      <c r="N37">
        <v>0.97924799299999998</v>
      </c>
      <c r="P37">
        <v>12.32226811</v>
      </c>
      <c r="Q37">
        <v>13.140704639999999</v>
      </c>
      <c r="R37">
        <v>5.0829346260000001</v>
      </c>
      <c r="S37">
        <v>3.2124086539999999</v>
      </c>
      <c r="T37">
        <v>2.40867984</v>
      </c>
      <c r="U37">
        <v>10.31378915</v>
      </c>
      <c r="V37">
        <v>3.4621084999999998</v>
      </c>
      <c r="W37">
        <v>3.150758363</v>
      </c>
      <c r="X37">
        <v>6.5192412910000002</v>
      </c>
      <c r="Y37">
        <v>9.1865755769999993</v>
      </c>
      <c r="Z37">
        <v>15.62014638</v>
      </c>
      <c r="AA37">
        <v>1.0615167999999999</v>
      </c>
      <c r="AB37">
        <v>1.6287505229999999</v>
      </c>
      <c r="AC37">
        <v>3.40438405</v>
      </c>
      <c r="AD37">
        <v>7.7191523780000004</v>
      </c>
      <c r="AE37">
        <v>26.13962935</v>
      </c>
      <c r="AF37">
        <v>1.410492E-2</v>
      </c>
      <c r="AG37">
        <v>0.61565909299999999</v>
      </c>
      <c r="AH37">
        <v>0.139359596</v>
      </c>
      <c r="AI37">
        <v>2.567994551</v>
      </c>
      <c r="AJ37">
        <v>0.16160894000000001</v>
      </c>
      <c r="AK37">
        <v>2.2042414840000002</v>
      </c>
      <c r="AL37">
        <v>2.3777958140000002</v>
      </c>
      <c r="AM37">
        <v>4.8792572999999999E-2</v>
      </c>
      <c r="AN37">
        <v>1.4278552999999999E-2</v>
      </c>
      <c r="AO37">
        <v>0.27996322699999998</v>
      </c>
      <c r="AP37">
        <v>1.0423525380000001</v>
      </c>
      <c r="AQ37">
        <v>1.9929156E-2</v>
      </c>
      <c r="AR37">
        <v>5.7192300659999997</v>
      </c>
      <c r="AS37">
        <v>0.108551549</v>
      </c>
      <c r="AT37">
        <v>0.67124465300000002</v>
      </c>
      <c r="AU37">
        <v>33.76646873</v>
      </c>
    </row>
    <row r="38" spans="1:47" x14ac:dyDescent="0.2">
      <c r="A38" t="s">
        <v>39</v>
      </c>
      <c r="B38" t="s">
        <v>159</v>
      </c>
      <c r="C38" t="s">
        <v>15</v>
      </c>
      <c r="D38">
        <v>2.2960589179999999</v>
      </c>
      <c r="E38">
        <v>1.1405351530000001</v>
      </c>
      <c r="F38">
        <v>4.7781190609999999</v>
      </c>
      <c r="G38">
        <v>1.2021440729999999</v>
      </c>
      <c r="H38">
        <v>6.9221729459999999</v>
      </c>
      <c r="I38">
        <v>12.238759780000001</v>
      </c>
      <c r="J38">
        <v>14.82754705</v>
      </c>
      <c r="K38">
        <v>2.4113866979999998</v>
      </c>
      <c r="L38">
        <v>2.6462153669999999</v>
      </c>
      <c r="M38">
        <v>61.935053619999998</v>
      </c>
      <c r="N38">
        <v>1.132581069</v>
      </c>
      <c r="P38">
        <v>8.8584654220000001</v>
      </c>
      <c r="Q38">
        <v>14.09901668</v>
      </c>
      <c r="R38">
        <v>12.227402530000001</v>
      </c>
      <c r="S38">
        <v>2.4208031750000001</v>
      </c>
      <c r="T38">
        <v>1.709321052</v>
      </c>
      <c r="U38">
        <v>19.028023130000001</v>
      </c>
      <c r="V38">
        <v>3.68063947</v>
      </c>
      <c r="W38">
        <v>4.992055358</v>
      </c>
      <c r="X38">
        <v>14.63987054</v>
      </c>
      <c r="Y38">
        <v>10.39411567</v>
      </c>
      <c r="Z38">
        <v>33.648483849999998</v>
      </c>
      <c r="AA38">
        <v>4.3506480759999997</v>
      </c>
      <c r="AB38">
        <v>14.981985460000001</v>
      </c>
      <c r="AC38">
        <v>11.75748334</v>
      </c>
      <c r="AD38">
        <v>6.1429132060000002</v>
      </c>
      <c r="AE38">
        <v>61.166587159999999</v>
      </c>
      <c r="AF38">
        <v>2.2731827290000002</v>
      </c>
      <c r="AG38">
        <v>7.9776796809999997</v>
      </c>
      <c r="AH38">
        <v>12.27936742</v>
      </c>
      <c r="AI38">
        <v>1.9052886499999999</v>
      </c>
      <c r="AJ38">
        <v>4.052777174</v>
      </c>
      <c r="AK38">
        <v>20.005183030000001</v>
      </c>
      <c r="AL38">
        <v>11.161611949999999</v>
      </c>
      <c r="AM38">
        <v>6.5445727309999997</v>
      </c>
      <c r="AN38">
        <v>2.8191699379999999</v>
      </c>
      <c r="AO38">
        <v>21.475669480000001</v>
      </c>
      <c r="AP38">
        <v>33.423644349999996</v>
      </c>
      <c r="AQ38">
        <v>12.536582879999999</v>
      </c>
      <c r="AR38">
        <v>19.99294549</v>
      </c>
      <c r="AS38">
        <v>18.855751590000001</v>
      </c>
      <c r="AT38">
        <v>8.0703405890000006</v>
      </c>
      <c r="AU38">
        <v>28.96419298</v>
      </c>
    </row>
    <row r="39" spans="1:47" x14ac:dyDescent="0.2">
      <c r="A39" t="s">
        <v>38</v>
      </c>
      <c r="B39" t="s">
        <v>159</v>
      </c>
      <c r="C39" t="s">
        <v>96</v>
      </c>
      <c r="D39">
        <v>2.5475449380000001</v>
      </c>
      <c r="E39">
        <v>0.95485110799999995</v>
      </c>
      <c r="F39">
        <v>11.62505904</v>
      </c>
      <c r="G39">
        <v>2.3302022060000001</v>
      </c>
      <c r="H39">
        <v>13.532419340000001</v>
      </c>
      <c r="I39">
        <v>32.135352060000002</v>
      </c>
      <c r="J39">
        <v>21.290956739999999</v>
      </c>
      <c r="K39">
        <v>6.662748831</v>
      </c>
      <c r="L39">
        <v>4.0730454690000002</v>
      </c>
      <c r="M39">
        <v>170.1466638</v>
      </c>
      <c r="N39">
        <v>2.6441463710000002</v>
      </c>
      <c r="P39">
        <v>18.198121050000001</v>
      </c>
      <c r="Q39">
        <v>72.870132499999997</v>
      </c>
      <c r="R39">
        <v>13.75133306</v>
      </c>
      <c r="S39">
        <v>3.3256283070000001</v>
      </c>
      <c r="T39">
        <v>3.0671043509999998</v>
      </c>
      <c r="U39">
        <v>3.0000661599999998</v>
      </c>
      <c r="V39">
        <v>0.223405566</v>
      </c>
      <c r="W39">
        <v>4.8219653320000004</v>
      </c>
      <c r="X39">
        <v>8.3856602559999995</v>
      </c>
      <c r="Y39">
        <v>7.5243517210000004</v>
      </c>
      <c r="Z39">
        <v>70.273264769999997</v>
      </c>
      <c r="AA39">
        <v>5.1283027670000001</v>
      </c>
      <c r="AB39">
        <v>12.63907365</v>
      </c>
      <c r="AC39">
        <v>11.479939659999999</v>
      </c>
      <c r="AD39">
        <v>5.530497295</v>
      </c>
      <c r="AE39">
        <v>129.05558060000001</v>
      </c>
      <c r="AF39">
        <v>0.167663638</v>
      </c>
      <c r="AG39">
        <v>1.86252277</v>
      </c>
      <c r="AH39">
        <v>2.568021984</v>
      </c>
      <c r="AI39">
        <v>0.53345732400000001</v>
      </c>
      <c r="AJ39">
        <v>0.93356620700000004</v>
      </c>
      <c r="AK39">
        <v>13.45221722</v>
      </c>
      <c r="AL39">
        <v>12.68536087</v>
      </c>
      <c r="AM39">
        <v>3.2186534039999999</v>
      </c>
      <c r="AN39">
        <v>0.93841337199999997</v>
      </c>
      <c r="AO39">
        <v>1.475433446</v>
      </c>
      <c r="AP39">
        <v>16.782567060000002</v>
      </c>
      <c r="AQ39">
        <v>3.4632464459999999</v>
      </c>
      <c r="AR39">
        <v>15.07773834</v>
      </c>
      <c r="AS39">
        <v>11.998658450000001</v>
      </c>
      <c r="AT39">
        <v>2.6353817639999999</v>
      </c>
      <c r="AU39">
        <v>143.4235568</v>
      </c>
    </row>
    <row r="40" spans="1:47" x14ac:dyDescent="0.2">
      <c r="A40" t="s">
        <v>38</v>
      </c>
      <c r="B40" t="s">
        <v>159</v>
      </c>
      <c r="C40" t="s">
        <v>97</v>
      </c>
      <c r="D40">
        <v>5.2319831079999997</v>
      </c>
      <c r="E40">
        <v>3.1831219229999999</v>
      </c>
      <c r="F40">
        <v>25.022718480000002</v>
      </c>
      <c r="G40">
        <v>3.5080945749999999</v>
      </c>
      <c r="H40">
        <v>26.55145585</v>
      </c>
      <c r="I40">
        <v>175.22105819999999</v>
      </c>
      <c r="J40">
        <v>64.516705680000001</v>
      </c>
      <c r="K40">
        <v>11.362774330000001</v>
      </c>
      <c r="L40">
        <v>10.514179589999999</v>
      </c>
      <c r="M40">
        <v>1079.7434009999999</v>
      </c>
      <c r="N40">
        <v>7.3586768100000004</v>
      </c>
      <c r="P40">
        <v>31.870938540000001</v>
      </c>
      <c r="Q40">
        <v>216.7134216</v>
      </c>
      <c r="R40">
        <v>38.530338970000003</v>
      </c>
      <c r="S40">
        <v>4.906455577</v>
      </c>
      <c r="T40">
        <v>3.9671651130000001</v>
      </c>
      <c r="U40">
        <v>340.29071449999998</v>
      </c>
      <c r="V40">
        <v>49.226431169999998</v>
      </c>
      <c r="W40">
        <v>12.14823898</v>
      </c>
      <c r="X40">
        <v>105.75622509999999</v>
      </c>
      <c r="Y40">
        <v>72.589969800000006</v>
      </c>
      <c r="Z40">
        <v>405.50745419999998</v>
      </c>
      <c r="AA40">
        <v>20.483636600000001</v>
      </c>
      <c r="AB40">
        <v>184.60394170000001</v>
      </c>
      <c r="AC40">
        <v>93.262019890000005</v>
      </c>
      <c r="AD40">
        <v>27.391477030000001</v>
      </c>
      <c r="AE40">
        <v>777.91526680000004</v>
      </c>
      <c r="AF40">
        <v>13.087933059999999</v>
      </c>
      <c r="AG40">
        <v>57.104669319999999</v>
      </c>
      <c r="AH40">
        <v>86.932396490000002</v>
      </c>
      <c r="AI40">
        <v>8.8992439599999997</v>
      </c>
      <c r="AJ40">
        <v>10.686300729999999</v>
      </c>
      <c r="AK40">
        <v>226.08004070000001</v>
      </c>
      <c r="AL40">
        <v>171.84273630000001</v>
      </c>
      <c r="AM40">
        <v>33.590594269999997</v>
      </c>
      <c r="AN40">
        <v>8.553071783</v>
      </c>
      <c r="AO40">
        <v>326.96595539999998</v>
      </c>
      <c r="AP40">
        <v>444.5737714</v>
      </c>
      <c r="AQ40">
        <v>121.1582171</v>
      </c>
      <c r="AR40">
        <v>170.7618243</v>
      </c>
      <c r="AS40">
        <v>146.14290030000001</v>
      </c>
      <c r="AT40">
        <v>64.666972819999998</v>
      </c>
      <c r="AU40">
        <v>105.8388906</v>
      </c>
    </row>
    <row r="41" spans="1:47" x14ac:dyDescent="0.2">
      <c r="A41" t="s">
        <v>38</v>
      </c>
      <c r="B41" t="s">
        <v>159</v>
      </c>
      <c r="C41" t="s">
        <v>12</v>
      </c>
      <c r="D41">
        <v>83.194253309999993</v>
      </c>
      <c r="E41">
        <v>85.712144910000006</v>
      </c>
      <c r="F41">
        <v>111.0760777</v>
      </c>
      <c r="G41">
        <v>73.915852770000001</v>
      </c>
      <c r="H41">
        <v>198.39693740000001</v>
      </c>
      <c r="I41">
        <v>426.94104829999998</v>
      </c>
      <c r="J41">
        <v>294.58465519999999</v>
      </c>
      <c r="K41">
        <v>48.49522073</v>
      </c>
      <c r="L41">
        <v>109.8126177</v>
      </c>
      <c r="M41">
        <v>997.40575179999996</v>
      </c>
      <c r="N41">
        <v>60.259484530000002</v>
      </c>
      <c r="P41">
        <v>237.1029356</v>
      </c>
      <c r="Q41">
        <v>411.7776341</v>
      </c>
      <c r="R41">
        <v>320.2921288</v>
      </c>
      <c r="S41">
        <v>113.48506089999999</v>
      </c>
      <c r="T41">
        <v>65.505645299999998</v>
      </c>
      <c r="U41">
        <v>636.16326170000002</v>
      </c>
      <c r="V41">
        <v>216.33836360000001</v>
      </c>
      <c r="W41">
        <v>153.90409170000001</v>
      </c>
      <c r="X41">
        <v>446.1317808</v>
      </c>
      <c r="Y41">
        <v>243.77726799999999</v>
      </c>
      <c r="Z41">
        <v>865.03119839999999</v>
      </c>
      <c r="AA41">
        <v>90.50351757</v>
      </c>
      <c r="AB41">
        <v>325.39457579999998</v>
      </c>
      <c r="AC41">
        <v>258.83593430000002</v>
      </c>
      <c r="AD41">
        <v>156.8967514</v>
      </c>
      <c r="AE41">
        <v>951.66177330000005</v>
      </c>
      <c r="AF41">
        <v>62.128197139999997</v>
      </c>
      <c r="AG41">
        <v>170.7215875</v>
      </c>
      <c r="AH41">
        <v>311.06137030000002</v>
      </c>
      <c r="AI41">
        <v>72.103677329999996</v>
      </c>
      <c r="AJ41">
        <v>150.00539119999999</v>
      </c>
      <c r="AK41">
        <v>431.44247309999997</v>
      </c>
      <c r="AL41">
        <v>335.90998719999999</v>
      </c>
      <c r="AM41">
        <v>192.0195708</v>
      </c>
      <c r="AN41">
        <v>103.31169420000001</v>
      </c>
      <c r="AO41">
        <v>511.42273189999997</v>
      </c>
      <c r="AP41">
        <v>566.60744050000005</v>
      </c>
      <c r="AQ41">
        <v>221.4856709</v>
      </c>
      <c r="AR41">
        <v>427.7177494</v>
      </c>
      <c r="AS41">
        <v>418.1204788</v>
      </c>
      <c r="AT41">
        <v>189.7984314</v>
      </c>
      <c r="AU41">
        <v>441.76972039999998</v>
      </c>
    </row>
    <row r="42" spans="1:47" x14ac:dyDescent="0.2">
      <c r="C42" t="s">
        <v>99</v>
      </c>
      <c r="D42">
        <f>D20/D22</f>
        <v>94.28917297752578</v>
      </c>
      <c r="E42">
        <f t="shared" ref="E42:AU42" si="0">E20/E22</f>
        <v>207.05201209798329</v>
      </c>
      <c r="F42">
        <f t="shared" si="0"/>
        <v>169.53579228788291</v>
      </c>
      <c r="G42">
        <f t="shared" si="0"/>
        <v>132.55212190787626</v>
      </c>
      <c r="H42">
        <f t="shared" si="0"/>
        <v>111.51957394734282</v>
      </c>
      <c r="I42">
        <f t="shared" si="0"/>
        <v>163.12650282513414</v>
      </c>
      <c r="J42">
        <f t="shared" si="0"/>
        <v>92.68445282539372</v>
      </c>
      <c r="K42">
        <f t="shared" si="0"/>
        <v>105.46897120817876</v>
      </c>
      <c r="L42">
        <f t="shared" si="0"/>
        <v>244.0349536279972</v>
      </c>
      <c r="M42">
        <f t="shared" si="0"/>
        <v>130.34117614025701</v>
      </c>
      <c r="N42">
        <f t="shared" si="0"/>
        <v>194.58841962442381</v>
      </c>
      <c r="P42">
        <f t="shared" si="0"/>
        <v>111.06853398255748</v>
      </c>
      <c r="Q42">
        <f t="shared" si="0"/>
        <v>119.29151415639792</v>
      </c>
      <c r="R42">
        <f t="shared" si="0"/>
        <v>111.35351490281023</v>
      </c>
      <c r="S42">
        <f t="shared" si="0"/>
        <v>88.748066216014095</v>
      </c>
      <c r="T42">
        <f t="shared" si="0"/>
        <v>120.18708076070614</v>
      </c>
      <c r="U42">
        <f t="shared" si="0"/>
        <v>106.99486279797894</v>
      </c>
      <c r="V42">
        <f t="shared" si="0"/>
        <v>75.275492403583868</v>
      </c>
      <c r="W42">
        <f t="shared" si="0"/>
        <v>108.23772401707321</v>
      </c>
      <c r="X42">
        <f t="shared" si="0"/>
        <v>178.80025899541604</v>
      </c>
      <c r="Y42">
        <f t="shared" si="0"/>
        <v>155.26117361267674</v>
      </c>
      <c r="Z42">
        <f t="shared" si="0"/>
        <v>83.851918425031755</v>
      </c>
      <c r="AA42">
        <f t="shared" si="0"/>
        <v>77.090414499270565</v>
      </c>
      <c r="AB42">
        <f t="shared" si="0"/>
        <v>89.38053048694853</v>
      </c>
      <c r="AC42">
        <f t="shared" si="0"/>
        <v>95.437182915805892</v>
      </c>
      <c r="AD42">
        <f t="shared" si="0"/>
        <v>49.412063082965332</v>
      </c>
      <c r="AE42">
        <f t="shared" si="0"/>
        <v>127.37845209115088</v>
      </c>
      <c r="AF42">
        <f t="shared" si="0"/>
        <v>43.240680496737198</v>
      </c>
      <c r="AG42">
        <f t="shared" si="0"/>
        <v>109.86345060519912</v>
      </c>
      <c r="AH42">
        <f t="shared" si="0"/>
        <v>71.890870893578011</v>
      </c>
      <c r="AI42">
        <f t="shared" si="0"/>
        <v>67.198697216659497</v>
      </c>
      <c r="AJ42">
        <f t="shared" si="0"/>
        <v>36.280192616972371</v>
      </c>
      <c r="AK42">
        <f t="shared" si="0"/>
        <v>93.476476181767353</v>
      </c>
      <c r="AL42">
        <f t="shared" si="0"/>
        <v>41.212402360290255</v>
      </c>
      <c r="AM42">
        <f t="shared" si="0"/>
        <v>54.097974348823087</v>
      </c>
      <c r="AN42">
        <f t="shared" si="0"/>
        <v>69.016291895339506</v>
      </c>
      <c r="AO42">
        <f t="shared" si="0"/>
        <v>50.930053574224459</v>
      </c>
      <c r="AP42">
        <f t="shared" si="0"/>
        <v>57.06406809567396</v>
      </c>
      <c r="AQ42">
        <f t="shared" si="0"/>
        <v>53.96195848155039</v>
      </c>
      <c r="AR42">
        <f t="shared" si="0"/>
        <v>77.982658466190202</v>
      </c>
      <c r="AS42">
        <f t="shared" si="0"/>
        <v>36.276900315584804</v>
      </c>
      <c r="AT42">
        <f t="shared" si="0"/>
        <v>58.84880574637333</v>
      </c>
      <c r="AU42">
        <f t="shared" si="0"/>
        <v>46.127074037604004</v>
      </c>
    </row>
    <row r="43" spans="1:47" x14ac:dyDescent="0.2">
      <c r="C43" t="s">
        <v>100</v>
      </c>
      <c r="D43">
        <f>D21/D22</f>
        <v>581.12638378845031</v>
      </c>
      <c r="E43">
        <f t="shared" ref="E43:AU43" si="1">E21/E22</f>
        <v>1081.8268584811242</v>
      </c>
      <c r="F43">
        <f t="shared" si="1"/>
        <v>931.15342593225387</v>
      </c>
      <c r="G43">
        <f t="shared" si="1"/>
        <v>798.70348980940548</v>
      </c>
      <c r="H43">
        <f t="shared" si="1"/>
        <v>495.90393463440074</v>
      </c>
      <c r="I43">
        <f t="shared" si="1"/>
        <v>935.04555763432131</v>
      </c>
      <c r="J43">
        <f t="shared" si="1"/>
        <v>506.84769133509752</v>
      </c>
      <c r="K43">
        <f t="shared" si="1"/>
        <v>637.52940926693213</v>
      </c>
      <c r="L43">
        <f t="shared" si="1"/>
        <v>1165.927520132291</v>
      </c>
      <c r="M43">
        <f t="shared" si="1"/>
        <v>910.76036366549442</v>
      </c>
      <c r="N43">
        <f t="shared" si="1"/>
        <v>1419.6784594913395</v>
      </c>
      <c r="P43">
        <f t="shared" si="1"/>
        <v>684.73927817298295</v>
      </c>
      <c r="Q43">
        <f t="shared" si="1"/>
        <v>656.86795902711674</v>
      </c>
      <c r="R43">
        <f t="shared" si="1"/>
        <v>858.15916757693537</v>
      </c>
      <c r="S43">
        <f t="shared" si="1"/>
        <v>523.33498235017896</v>
      </c>
      <c r="T43">
        <f t="shared" si="1"/>
        <v>601.27968773775854</v>
      </c>
      <c r="U43">
        <f t="shared" si="1"/>
        <v>639.62552246289761</v>
      </c>
      <c r="V43">
        <f t="shared" si="1"/>
        <v>551.51799436011834</v>
      </c>
      <c r="W43">
        <f t="shared" si="1"/>
        <v>631.35838707525863</v>
      </c>
      <c r="X43">
        <f t="shared" si="1"/>
        <v>984.81977968986689</v>
      </c>
      <c r="Y43">
        <f t="shared" si="1"/>
        <v>1430.5351744455475</v>
      </c>
      <c r="Z43">
        <f t="shared" si="1"/>
        <v>553.95646969903748</v>
      </c>
      <c r="AA43">
        <f t="shared" si="1"/>
        <v>685.5347994849044</v>
      </c>
      <c r="AB43">
        <f t="shared" si="1"/>
        <v>762.37200455474431</v>
      </c>
      <c r="AC43">
        <f t="shared" si="1"/>
        <v>781.31437218445672</v>
      </c>
      <c r="AD43">
        <f t="shared" si="1"/>
        <v>587.28948527561602</v>
      </c>
      <c r="AE43">
        <f t="shared" si="1"/>
        <v>1267.2319997127693</v>
      </c>
      <c r="AF43">
        <f t="shared" si="1"/>
        <v>422.21581024563977</v>
      </c>
      <c r="AG43">
        <f t="shared" si="1"/>
        <v>925.5147980368713</v>
      </c>
      <c r="AH43">
        <f t="shared" si="1"/>
        <v>647.46525212177971</v>
      </c>
      <c r="AI43">
        <f t="shared" si="1"/>
        <v>604.6673433189859</v>
      </c>
      <c r="AJ43">
        <f t="shared" si="1"/>
        <v>359.11145963747396</v>
      </c>
      <c r="AK43">
        <f t="shared" si="1"/>
        <v>858.42710084831185</v>
      </c>
      <c r="AL43">
        <f t="shared" si="1"/>
        <v>467.68685400424641</v>
      </c>
      <c r="AM43">
        <f t="shared" si="1"/>
        <v>409.59684258204305</v>
      </c>
      <c r="AN43">
        <f t="shared" si="1"/>
        <v>588.43875028051445</v>
      </c>
      <c r="AO43">
        <f t="shared" si="1"/>
        <v>560.28001092502893</v>
      </c>
      <c r="AP43">
        <f t="shared" si="1"/>
        <v>560.13371137905733</v>
      </c>
      <c r="AQ43">
        <f t="shared" si="1"/>
        <v>556.78604752336025</v>
      </c>
      <c r="AR43">
        <f t="shared" si="1"/>
        <v>830.23896549275423</v>
      </c>
      <c r="AS43">
        <f t="shared" si="1"/>
        <v>347.54324089936688</v>
      </c>
      <c r="AT43">
        <f t="shared" si="1"/>
        <v>593.98820925433904</v>
      </c>
      <c r="AU43">
        <f t="shared" si="1"/>
        <v>448.84360829598023</v>
      </c>
    </row>
    <row r="45" spans="1:47" x14ac:dyDescent="0.2">
      <c r="B45" s="4" t="s">
        <v>164</v>
      </c>
      <c r="D45">
        <f>SUM(D31:D35)</f>
        <v>16.320502172000001</v>
      </c>
      <c r="E45">
        <f t="shared" ref="E45:AU45" si="2">SUM(E31:E35)</f>
        <v>23.141131695999999</v>
      </c>
      <c r="F45">
        <f t="shared" si="2"/>
        <v>36.018624936999998</v>
      </c>
      <c r="G45">
        <f t="shared" si="2"/>
        <v>11.548183899</v>
      </c>
      <c r="H45">
        <f t="shared" si="2"/>
        <v>34.079012132999999</v>
      </c>
      <c r="I45">
        <f t="shared" si="2"/>
        <v>52.451181520000006</v>
      </c>
      <c r="J45">
        <f t="shared" si="2"/>
        <v>32.741620968999996</v>
      </c>
      <c r="K45">
        <f t="shared" si="2"/>
        <v>14.329165012000001</v>
      </c>
      <c r="L45">
        <f t="shared" si="2"/>
        <v>32.729329778999997</v>
      </c>
      <c r="M45">
        <f t="shared" si="2"/>
        <v>37.996188332999999</v>
      </c>
      <c r="N45">
        <f t="shared" si="2"/>
        <v>8.1823866919999997</v>
      </c>
      <c r="P45">
        <f t="shared" si="2"/>
        <v>49.970439639999995</v>
      </c>
      <c r="Q45">
        <f t="shared" si="2"/>
        <v>63.028270536999997</v>
      </c>
      <c r="R45">
        <f t="shared" si="2"/>
        <v>58.710074016999997</v>
      </c>
      <c r="S45">
        <f t="shared" si="2"/>
        <v>31.130441052999998</v>
      </c>
      <c r="T45">
        <f t="shared" si="2"/>
        <v>8.5751181970000001</v>
      </c>
      <c r="U45">
        <f t="shared" si="2"/>
        <v>88.986506902000002</v>
      </c>
      <c r="V45">
        <f t="shared" si="2"/>
        <v>35.89635955976</v>
      </c>
      <c r="W45">
        <f t="shared" si="2"/>
        <v>20.960978196999999</v>
      </c>
      <c r="X45">
        <f t="shared" si="2"/>
        <v>49.893085728000003</v>
      </c>
      <c r="Y45">
        <f t="shared" si="2"/>
        <v>47.676550276</v>
      </c>
      <c r="Z45">
        <f t="shared" si="2"/>
        <v>42.049354845000003</v>
      </c>
      <c r="AA45">
        <f t="shared" si="2"/>
        <v>29.405830511000001</v>
      </c>
      <c r="AB45">
        <f t="shared" si="2"/>
        <v>39.891809828</v>
      </c>
      <c r="AC45">
        <f t="shared" si="2"/>
        <v>45.493365795000003</v>
      </c>
      <c r="AD45">
        <f t="shared" si="2"/>
        <v>32.668983408000003</v>
      </c>
      <c r="AE45">
        <f t="shared" si="2"/>
        <v>27.539892406</v>
      </c>
      <c r="AF45">
        <f t="shared" si="2"/>
        <v>20.908958464410002</v>
      </c>
      <c r="AG45">
        <f t="shared" si="2"/>
        <v>49.659155145</v>
      </c>
      <c r="AH45">
        <f t="shared" si="2"/>
        <v>70.084479780999999</v>
      </c>
      <c r="AI45">
        <f t="shared" si="2"/>
        <v>37.562433069000001</v>
      </c>
      <c r="AJ45">
        <f t="shared" si="2"/>
        <v>25.921589945000001</v>
      </c>
      <c r="AK45">
        <f t="shared" si="2"/>
        <v>88.070808642000003</v>
      </c>
      <c r="AL45">
        <f t="shared" si="2"/>
        <v>58.054709681999995</v>
      </c>
      <c r="AM45">
        <f t="shared" si="2"/>
        <v>42.568648146999998</v>
      </c>
      <c r="AN45">
        <f t="shared" si="2"/>
        <v>37.150979565999997</v>
      </c>
      <c r="AO45">
        <f t="shared" si="2"/>
        <v>57.999665569629997</v>
      </c>
      <c r="AP45">
        <f t="shared" si="2"/>
        <v>67.56937631400001</v>
      </c>
      <c r="AQ45">
        <f t="shared" si="2"/>
        <v>49.096602802999996</v>
      </c>
      <c r="AR45">
        <f t="shared" si="2"/>
        <v>124.190537486</v>
      </c>
      <c r="AS45">
        <f t="shared" si="2"/>
        <v>104.196851786</v>
      </c>
      <c r="AT45">
        <f t="shared" si="2"/>
        <v>56.063491382999999</v>
      </c>
      <c r="AU45">
        <f t="shared" si="2"/>
        <v>65.145887580999997</v>
      </c>
    </row>
    <row r="46" spans="1:47" x14ac:dyDescent="0.2">
      <c r="B46" s="4" t="s">
        <v>165</v>
      </c>
      <c r="D46">
        <f>SUM(D36:D41)</f>
        <v>102.440571108</v>
      </c>
      <c r="E46">
        <f t="shared" ref="E46:AU46" si="3">SUM(E36:E41)</f>
        <v>99.108478212000009</v>
      </c>
      <c r="F46">
        <f t="shared" si="3"/>
        <v>165.41090075300002</v>
      </c>
      <c r="G46">
        <f t="shared" si="3"/>
        <v>87.626654947000006</v>
      </c>
      <c r="H46">
        <f t="shared" si="3"/>
        <v>261.50353232700002</v>
      </c>
      <c r="I46">
        <f t="shared" si="3"/>
        <v>681.19521369199992</v>
      </c>
      <c r="J46">
        <f t="shared" si="3"/>
        <v>416.33568812199997</v>
      </c>
      <c r="K46">
        <f t="shared" si="3"/>
        <v>73.639490343000006</v>
      </c>
      <c r="L46">
        <f t="shared" si="3"/>
        <v>136.168166783</v>
      </c>
      <c r="M46">
        <f t="shared" si="3"/>
        <v>2443.6665474000001</v>
      </c>
      <c r="N46">
        <f t="shared" si="3"/>
        <v>76.767569127000002</v>
      </c>
      <c r="P46">
        <f t="shared" si="3"/>
        <v>324.948783822</v>
      </c>
      <c r="Q46">
        <f t="shared" si="3"/>
        <v>777.23932663999994</v>
      </c>
      <c r="R46">
        <f t="shared" si="3"/>
        <v>412.96640541600004</v>
      </c>
      <c r="S46">
        <f t="shared" si="3"/>
        <v>133.156972967</v>
      </c>
      <c r="T46">
        <f t="shared" si="3"/>
        <v>80.116107235000001</v>
      </c>
      <c r="U46">
        <f t="shared" si="3"/>
        <v>1077.6719010900001</v>
      </c>
      <c r="V46">
        <f t="shared" si="3"/>
        <v>287.18722457600001</v>
      </c>
      <c r="W46">
        <f t="shared" si="3"/>
        <v>188.21430002600002</v>
      </c>
      <c r="X46">
        <f t="shared" si="3"/>
        <v>610.71029747700004</v>
      </c>
      <c r="Y46">
        <f t="shared" si="3"/>
        <v>357.416694678</v>
      </c>
      <c r="Z46">
        <f t="shared" si="3"/>
        <v>1470.3288762699999</v>
      </c>
      <c r="AA46">
        <f t="shared" si="3"/>
        <v>127.84944716300001</v>
      </c>
      <c r="AB46">
        <f t="shared" si="3"/>
        <v>561.63452413300001</v>
      </c>
      <c r="AC46">
        <f t="shared" si="3"/>
        <v>404.45046751000001</v>
      </c>
      <c r="AD46">
        <f t="shared" si="3"/>
        <v>214.294499059</v>
      </c>
      <c r="AE46">
        <f t="shared" si="3"/>
        <v>2055.0991823100003</v>
      </c>
      <c r="AF46">
        <f t="shared" si="3"/>
        <v>80.456909557999992</v>
      </c>
      <c r="AG46">
        <f t="shared" si="3"/>
        <v>247.47839105</v>
      </c>
      <c r="AH46">
        <f t="shared" si="3"/>
        <v>431.08669932000004</v>
      </c>
      <c r="AI46">
        <f t="shared" si="3"/>
        <v>89.911616318</v>
      </c>
      <c r="AJ46">
        <f t="shared" si="3"/>
        <v>174.28445376499999</v>
      </c>
      <c r="AK46">
        <f t="shared" si="3"/>
        <v>719.87493065399997</v>
      </c>
      <c r="AL46">
        <f t="shared" si="3"/>
        <v>551.00365426400003</v>
      </c>
      <c r="AM46">
        <f t="shared" si="3"/>
        <v>244.75940808799999</v>
      </c>
      <c r="AN46">
        <f t="shared" si="3"/>
        <v>119.86171359400001</v>
      </c>
      <c r="AO46">
        <f t="shared" si="3"/>
        <v>910.15304883299996</v>
      </c>
      <c r="AP46">
        <f t="shared" si="3"/>
        <v>1131.140115358</v>
      </c>
      <c r="AQ46">
        <f t="shared" si="3"/>
        <v>374.80064715200001</v>
      </c>
      <c r="AR46">
        <f t="shared" si="3"/>
        <v>679.731138956</v>
      </c>
      <c r="AS46">
        <f t="shared" si="3"/>
        <v>624.073588739</v>
      </c>
      <c r="AT46">
        <f t="shared" si="3"/>
        <v>280.19715219599999</v>
      </c>
      <c r="AU46">
        <f t="shared" si="3"/>
        <v>767.17934050999997</v>
      </c>
    </row>
    <row r="47" spans="1:47" x14ac:dyDescent="0.2">
      <c r="B47" s="5" t="s">
        <v>190</v>
      </c>
      <c r="D47">
        <f>D45-D31</f>
        <v>15.721473877000001</v>
      </c>
      <c r="E47">
        <f t="shared" ref="E47:AU47" si="4">E45-E31</f>
        <v>22.765213938999999</v>
      </c>
      <c r="F47">
        <f t="shared" si="4"/>
        <v>35.404642947999996</v>
      </c>
      <c r="G47">
        <f t="shared" si="4"/>
        <v>11.316922725</v>
      </c>
      <c r="H47">
        <f t="shared" si="4"/>
        <v>33.022625089000002</v>
      </c>
      <c r="I47">
        <f t="shared" si="4"/>
        <v>51.641026866000004</v>
      </c>
      <c r="J47">
        <f t="shared" si="4"/>
        <v>31.552227793999997</v>
      </c>
      <c r="K47">
        <f t="shared" si="4"/>
        <v>14.153707425</v>
      </c>
      <c r="L47">
        <f t="shared" si="4"/>
        <v>32.310914765</v>
      </c>
      <c r="M47">
        <f t="shared" si="4"/>
        <v>37.614849497999998</v>
      </c>
      <c r="N47">
        <f t="shared" si="4"/>
        <v>8.1017134669999997</v>
      </c>
      <c r="P47">
        <f t="shared" si="4"/>
        <v>48.337037386999995</v>
      </c>
      <c r="Q47">
        <f t="shared" si="4"/>
        <v>62.034063980999996</v>
      </c>
      <c r="R47">
        <f t="shared" si="4"/>
        <v>56.652657995999995</v>
      </c>
      <c r="S47">
        <f t="shared" si="4"/>
        <v>30.324365594</v>
      </c>
      <c r="T47">
        <f t="shared" si="4"/>
        <v>8.4981384060000007</v>
      </c>
      <c r="U47">
        <f t="shared" si="4"/>
        <v>87.836580299000005</v>
      </c>
      <c r="V47">
        <f t="shared" si="4"/>
        <v>35.710619158760004</v>
      </c>
      <c r="W47">
        <f t="shared" si="4"/>
        <v>20.224242916999998</v>
      </c>
      <c r="X47">
        <f t="shared" si="4"/>
        <v>48.967780689000001</v>
      </c>
      <c r="Y47">
        <f t="shared" si="4"/>
        <v>46.844931760999998</v>
      </c>
      <c r="Z47">
        <f t="shared" si="4"/>
        <v>41.295530271000004</v>
      </c>
      <c r="AA47">
        <f t="shared" si="4"/>
        <v>29.005598745</v>
      </c>
      <c r="AB47">
        <f t="shared" si="4"/>
        <v>39.448439477999997</v>
      </c>
      <c r="AC47">
        <f t="shared" si="4"/>
        <v>44.793785337999999</v>
      </c>
      <c r="AD47">
        <f t="shared" si="4"/>
        <v>32.090792422</v>
      </c>
      <c r="AE47">
        <f t="shared" si="4"/>
        <v>27.138628517000001</v>
      </c>
      <c r="AF47">
        <f t="shared" si="4"/>
        <v>20.762964326410003</v>
      </c>
      <c r="AG47">
        <f t="shared" si="4"/>
        <v>48.846043524000002</v>
      </c>
      <c r="AH47">
        <f t="shared" si="4"/>
        <v>69.103372441000005</v>
      </c>
      <c r="AI47">
        <f t="shared" si="4"/>
        <v>37.280923473999998</v>
      </c>
      <c r="AJ47">
        <f t="shared" si="4"/>
        <v>25.409065741999999</v>
      </c>
      <c r="AK47">
        <f t="shared" si="4"/>
        <v>86.693392621000001</v>
      </c>
      <c r="AL47">
        <f t="shared" si="4"/>
        <v>57.506466128999996</v>
      </c>
      <c r="AM47">
        <f t="shared" si="4"/>
        <v>41.61472405</v>
      </c>
      <c r="AN47">
        <f t="shared" si="4"/>
        <v>36.728483570999998</v>
      </c>
      <c r="AO47">
        <f t="shared" si="4"/>
        <v>57.058548287629996</v>
      </c>
      <c r="AP47">
        <f t="shared" si="4"/>
        <v>66.591670563000008</v>
      </c>
      <c r="AQ47">
        <f t="shared" si="4"/>
        <v>48.476120439999995</v>
      </c>
      <c r="AR47">
        <f t="shared" si="4"/>
        <v>122.30613087399999</v>
      </c>
      <c r="AS47">
        <f t="shared" si="4"/>
        <v>101.888790234</v>
      </c>
      <c r="AT47">
        <f t="shared" si="4"/>
        <v>55.480831475999999</v>
      </c>
      <c r="AU47">
        <f t="shared" si="4"/>
        <v>63.704631090999996</v>
      </c>
    </row>
    <row r="48" spans="1:47" x14ac:dyDescent="0.2">
      <c r="B48" s="5" t="s">
        <v>170</v>
      </c>
      <c r="D48">
        <f>D45*100/D59</f>
        <v>13.742299325235605</v>
      </c>
      <c r="E48">
        <f t="shared" ref="E48:AU48" si="5">E45*100/E59</f>
        <v>18.929411483124611</v>
      </c>
      <c r="F48">
        <f t="shared" si="5"/>
        <v>17.881502135110349</v>
      </c>
      <c r="G48">
        <f t="shared" si="5"/>
        <v>11.644267874165314</v>
      </c>
      <c r="H48">
        <f t="shared" si="5"/>
        <v>11.529440006431697</v>
      </c>
      <c r="I48">
        <f t="shared" si="5"/>
        <v>7.1493817542500588</v>
      </c>
      <c r="J48">
        <f t="shared" si="5"/>
        <v>7.2908651375136193</v>
      </c>
      <c r="K48">
        <f t="shared" si="5"/>
        <v>16.288944004173132</v>
      </c>
      <c r="L48">
        <f t="shared" si="5"/>
        <v>19.378220781967304</v>
      </c>
      <c r="M48">
        <f t="shared" si="5"/>
        <v>1.5310778449424234</v>
      </c>
      <c r="N48">
        <f t="shared" si="5"/>
        <v>9.6320081783608398</v>
      </c>
      <c r="P48">
        <f t="shared" si="5"/>
        <v>13.328321545791519</v>
      </c>
      <c r="Q48">
        <f t="shared" si="5"/>
        <v>7.5009759686976567</v>
      </c>
      <c r="R48">
        <f t="shared" si="5"/>
        <v>12.447106560745851</v>
      </c>
      <c r="S48">
        <f t="shared" si="5"/>
        <v>18.9487680713084</v>
      </c>
      <c r="T48">
        <f t="shared" si="5"/>
        <v>9.6685079670869882</v>
      </c>
      <c r="U48">
        <f t="shared" si="5"/>
        <v>7.6274688711290892</v>
      </c>
      <c r="V48">
        <f t="shared" si="5"/>
        <v>11.110548886530959</v>
      </c>
      <c r="W48">
        <f t="shared" si="5"/>
        <v>10.020772232296817</v>
      </c>
      <c r="X48">
        <f t="shared" si="5"/>
        <v>7.5526536794191781</v>
      </c>
      <c r="Y48">
        <f t="shared" si="5"/>
        <v>11.769278029164338</v>
      </c>
      <c r="Z48">
        <f t="shared" si="5"/>
        <v>2.780346475497677</v>
      </c>
      <c r="AA48">
        <f t="shared" si="5"/>
        <v>18.699423603422783</v>
      </c>
      <c r="AB48">
        <f t="shared" si="5"/>
        <v>6.6317644923898529</v>
      </c>
      <c r="AC48">
        <f t="shared" si="5"/>
        <v>10.110898833935513</v>
      </c>
      <c r="AD48">
        <f t="shared" si="5"/>
        <v>13.228264795126272</v>
      </c>
      <c r="AE48">
        <f t="shared" si="5"/>
        <v>1.3223555027054068</v>
      </c>
      <c r="AF48">
        <f t="shared" si="5"/>
        <v>20.627217891319635</v>
      </c>
      <c r="AG48">
        <f t="shared" si="5"/>
        <v>16.712514382955359</v>
      </c>
      <c r="AH48">
        <f t="shared" si="5"/>
        <v>13.984140090960022</v>
      </c>
      <c r="AI48">
        <f t="shared" si="5"/>
        <v>29.466729306577339</v>
      </c>
      <c r="AJ48">
        <f t="shared" si="5"/>
        <v>12.947456262882666</v>
      </c>
      <c r="AK48">
        <f t="shared" si="5"/>
        <v>10.900584576229107</v>
      </c>
      <c r="AL48">
        <f t="shared" si="5"/>
        <v>9.5318795568083203</v>
      </c>
      <c r="AM48">
        <f t="shared" si="5"/>
        <v>14.815346856411383</v>
      </c>
      <c r="AN48">
        <f t="shared" si="5"/>
        <v>23.661131350789702</v>
      </c>
      <c r="AO48">
        <f t="shared" si="5"/>
        <v>5.9907558701022676</v>
      </c>
      <c r="AP48">
        <f t="shared" si="5"/>
        <v>5.6368433539098772</v>
      </c>
      <c r="AQ48">
        <f t="shared" si="5"/>
        <v>11.582194224711763</v>
      </c>
      <c r="AR48">
        <f t="shared" si="5"/>
        <v>15.448089176503238</v>
      </c>
      <c r="AS48">
        <f t="shared" si="5"/>
        <v>14.307439377998911</v>
      </c>
      <c r="AT48">
        <f t="shared" si="5"/>
        <v>16.672629537101514</v>
      </c>
      <c r="AU48">
        <f t="shared" si="5"/>
        <v>7.8269750071636004</v>
      </c>
    </row>
    <row r="49" spans="1:47" x14ac:dyDescent="0.2">
      <c r="B49" s="5" t="s">
        <v>183</v>
      </c>
      <c r="D49">
        <f>D46*100/D59</f>
        <v>86.257700674764408</v>
      </c>
      <c r="E49">
        <f t="shared" ref="E49:AU49" si="6">E46*100/E59</f>
        <v>81.070588516875389</v>
      </c>
      <c r="F49">
        <f t="shared" si="6"/>
        <v>82.118497864889662</v>
      </c>
      <c r="G49">
        <f t="shared" si="6"/>
        <v>88.355732125834692</v>
      </c>
      <c r="H49">
        <f t="shared" si="6"/>
        <v>88.470559993568315</v>
      </c>
      <c r="I49">
        <f t="shared" si="6"/>
        <v>92.850618245749928</v>
      </c>
      <c r="J49">
        <f t="shared" si="6"/>
        <v>92.70913486248638</v>
      </c>
      <c r="K49">
        <f t="shared" si="6"/>
        <v>83.711055995826868</v>
      </c>
      <c r="L49">
        <f t="shared" si="6"/>
        <v>80.6217792180327</v>
      </c>
      <c r="M49">
        <f t="shared" si="6"/>
        <v>98.468922155057598</v>
      </c>
      <c r="N49">
        <f t="shared" si="6"/>
        <v>90.367991821639166</v>
      </c>
      <c r="P49">
        <f t="shared" si="6"/>
        <v>86.671678454208489</v>
      </c>
      <c r="Q49">
        <f t="shared" si="6"/>
        <v>92.499024031302341</v>
      </c>
      <c r="R49">
        <f t="shared" si="6"/>
        <v>87.552893439254163</v>
      </c>
      <c r="S49">
        <f t="shared" si="6"/>
        <v>81.051231928691607</v>
      </c>
      <c r="T49">
        <f t="shared" si="6"/>
        <v>90.331492032913019</v>
      </c>
      <c r="U49">
        <f t="shared" si="6"/>
        <v>92.372531128870932</v>
      </c>
      <c r="V49">
        <f t="shared" si="6"/>
        <v>88.889451113469036</v>
      </c>
      <c r="W49">
        <f t="shared" si="6"/>
        <v>89.979227767703179</v>
      </c>
      <c r="X49">
        <f t="shared" si="6"/>
        <v>92.447346320580834</v>
      </c>
      <c r="Y49">
        <f t="shared" si="6"/>
        <v>88.23072197083566</v>
      </c>
      <c r="Z49">
        <f t="shared" si="6"/>
        <v>97.219653524502334</v>
      </c>
      <c r="AA49">
        <f t="shared" si="6"/>
        <v>81.300576396577213</v>
      </c>
      <c r="AB49">
        <f t="shared" si="6"/>
        <v>93.368235507610152</v>
      </c>
      <c r="AC49">
        <f t="shared" si="6"/>
        <v>89.889101166064478</v>
      </c>
      <c r="AD49">
        <f t="shared" si="6"/>
        <v>86.771735204873735</v>
      </c>
      <c r="AE49">
        <f t="shared" si="6"/>
        <v>98.67764449729458</v>
      </c>
      <c r="AF49">
        <f t="shared" si="6"/>
        <v>79.372782108680354</v>
      </c>
      <c r="AG49">
        <f t="shared" si="6"/>
        <v>83.287485617044624</v>
      </c>
      <c r="AH49">
        <f t="shared" si="6"/>
        <v>86.015859909039989</v>
      </c>
      <c r="AI49">
        <f t="shared" si="6"/>
        <v>70.533270693422665</v>
      </c>
      <c r="AJ49">
        <f t="shared" si="6"/>
        <v>87.052543737117333</v>
      </c>
      <c r="AK49">
        <f t="shared" si="6"/>
        <v>89.099415423770878</v>
      </c>
      <c r="AL49">
        <f t="shared" si="6"/>
        <v>90.468120443191694</v>
      </c>
      <c r="AM49">
        <f t="shared" si="6"/>
        <v>85.184653143588619</v>
      </c>
      <c r="AN49">
        <f t="shared" si="6"/>
        <v>76.338868649210312</v>
      </c>
      <c r="AO49">
        <f t="shared" si="6"/>
        <v>94.009244129897723</v>
      </c>
      <c r="AP49">
        <f t="shared" si="6"/>
        <v>94.363156646090133</v>
      </c>
      <c r="AQ49">
        <f t="shared" si="6"/>
        <v>88.417805775288244</v>
      </c>
      <c r="AR49">
        <f t="shared" si="6"/>
        <v>84.55191082349674</v>
      </c>
      <c r="AS49">
        <f t="shared" si="6"/>
        <v>85.692560622001082</v>
      </c>
      <c r="AT49">
        <f t="shared" si="6"/>
        <v>83.327370462898486</v>
      </c>
      <c r="AU49">
        <f t="shared" si="6"/>
        <v>92.173024992836403</v>
      </c>
    </row>
    <row r="50" spans="1:47" x14ac:dyDescent="0.2">
      <c r="A50" s="4" t="s">
        <v>38</v>
      </c>
      <c r="D50">
        <f>SUM(D32:D35,C39:C41)</f>
        <v>15.721473877000001</v>
      </c>
      <c r="E50">
        <f t="shared" ref="E50:AU50" si="7">SUM(E32:E35,D39:D41)</f>
        <v>113.738995295</v>
      </c>
      <c r="F50">
        <f t="shared" si="7"/>
        <v>125.25476088900001</v>
      </c>
      <c r="G50">
        <f t="shared" si="7"/>
        <v>159.040777945</v>
      </c>
      <c r="H50">
        <f t="shared" si="7"/>
        <v>112.77677464000001</v>
      </c>
      <c r="I50">
        <f t="shared" si="7"/>
        <v>290.12183945600003</v>
      </c>
      <c r="J50">
        <f t="shared" si="7"/>
        <v>665.84968635399991</v>
      </c>
      <c r="K50">
        <f t="shared" si="7"/>
        <v>394.54602504499996</v>
      </c>
      <c r="L50">
        <f t="shared" si="7"/>
        <v>98.831658656000002</v>
      </c>
      <c r="M50">
        <f t="shared" si="7"/>
        <v>162.01469225700001</v>
      </c>
      <c r="N50">
        <f t="shared" si="7"/>
        <v>2255.3975300669999</v>
      </c>
      <c r="P50">
        <f>SUM(P32:P35,N39:N41)</f>
        <v>118.59934509799999</v>
      </c>
      <c r="Q50">
        <f t="shared" si="7"/>
        <v>349.20605917099999</v>
      </c>
      <c r="R50">
        <f t="shared" si="7"/>
        <v>758.01384619600003</v>
      </c>
      <c r="S50">
        <f t="shared" si="7"/>
        <v>402.89816642400001</v>
      </c>
      <c r="T50">
        <f t="shared" si="7"/>
        <v>130.21528318999998</v>
      </c>
      <c r="U50">
        <f t="shared" si="7"/>
        <v>160.37649506299999</v>
      </c>
      <c r="V50">
        <f t="shared" si="7"/>
        <v>1015.16466151876</v>
      </c>
      <c r="W50">
        <f t="shared" si="7"/>
        <v>286.01244325300001</v>
      </c>
      <c r="X50">
        <f t="shared" si="7"/>
        <v>219.842076701</v>
      </c>
      <c r="Y50">
        <f t="shared" si="7"/>
        <v>607.11859791699999</v>
      </c>
      <c r="Z50">
        <f t="shared" si="7"/>
        <v>365.18711979199998</v>
      </c>
      <c r="AA50">
        <f t="shared" si="7"/>
        <v>1369.817516115</v>
      </c>
      <c r="AB50">
        <f t="shared" si="7"/>
        <v>155.56389641499999</v>
      </c>
      <c r="AC50">
        <f t="shared" si="7"/>
        <v>567.43137648799996</v>
      </c>
      <c r="AD50">
        <f t="shared" si="7"/>
        <v>395.66868627200006</v>
      </c>
      <c r="AE50">
        <f t="shared" si="7"/>
        <v>216.95735424200001</v>
      </c>
      <c r="AF50">
        <f t="shared" si="7"/>
        <v>1879.3955850264101</v>
      </c>
      <c r="AG50">
        <f t="shared" si="7"/>
        <v>124.22983736199998</v>
      </c>
      <c r="AH50">
        <f t="shared" si="7"/>
        <v>298.792152031</v>
      </c>
      <c r="AI50">
        <f t="shared" si="7"/>
        <v>437.842712248</v>
      </c>
      <c r="AJ50">
        <f t="shared" si="7"/>
        <v>106.945444356</v>
      </c>
      <c r="AK50">
        <f t="shared" si="7"/>
        <v>248.31865075799999</v>
      </c>
      <c r="AL50">
        <f t="shared" si="7"/>
        <v>728.48119714899997</v>
      </c>
      <c r="AM50">
        <f t="shared" si="7"/>
        <v>562.05280842000002</v>
      </c>
      <c r="AN50">
        <f t="shared" si="7"/>
        <v>265.55730204500003</v>
      </c>
      <c r="AO50">
        <f t="shared" si="7"/>
        <v>169.86172764263</v>
      </c>
      <c r="AP50">
        <f t="shared" si="7"/>
        <v>906.45579130900001</v>
      </c>
      <c r="AQ50">
        <f t="shared" si="7"/>
        <v>1076.4398994000001</v>
      </c>
      <c r="AR50">
        <f t="shared" si="7"/>
        <v>468.41326531999999</v>
      </c>
      <c r="AS50">
        <f t="shared" si="7"/>
        <v>715.44610227399994</v>
      </c>
      <c r="AT50">
        <f t="shared" si="7"/>
        <v>631.74286902599999</v>
      </c>
      <c r="AU50">
        <f t="shared" si="7"/>
        <v>320.80541707500004</v>
      </c>
    </row>
    <row r="51" spans="1:47" x14ac:dyDescent="0.2">
      <c r="A51" s="4" t="s">
        <v>39</v>
      </c>
      <c r="D51">
        <f>SUM(D31,D36:D38)</f>
        <v>12.065818047</v>
      </c>
      <c r="E51">
        <f t="shared" ref="E51:AU51" si="8">SUM(E31,E36:E38)</f>
        <v>9.6342780279999989</v>
      </c>
      <c r="F51">
        <f t="shared" si="8"/>
        <v>18.301027521999998</v>
      </c>
      <c r="G51">
        <f t="shared" si="8"/>
        <v>8.1037665699999994</v>
      </c>
      <c r="H51">
        <f t="shared" si="8"/>
        <v>24.079106781</v>
      </c>
      <c r="I51">
        <f t="shared" si="8"/>
        <v>47.707909786000002</v>
      </c>
      <c r="J51">
        <f t="shared" si="8"/>
        <v>37.132763677</v>
      </c>
      <c r="K51">
        <f t="shared" si="8"/>
        <v>7.2942040390000003</v>
      </c>
      <c r="L51">
        <f t="shared" si="8"/>
        <v>12.186739037999999</v>
      </c>
      <c r="M51">
        <f t="shared" si="8"/>
        <v>196.75206963499997</v>
      </c>
      <c r="N51">
        <f t="shared" si="8"/>
        <v>6.5859346409999997</v>
      </c>
      <c r="P51">
        <f t="shared" si="8"/>
        <v>39.410190884999999</v>
      </c>
      <c r="Q51">
        <f t="shared" si="8"/>
        <v>76.87234499600001</v>
      </c>
      <c r="R51">
        <f t="shared" si="8"/>
        <v>42.450020607000006</v>
      </c>
      <c r="S51">
        <f t="shared" si="8"/>
        <v>12.245903641999998</v>
      </c>
      <c r="T51">
        <f t="shared" si="8"/>
        <v>7.653172262</v>
      </c>
      <c r="U51">
        <f t="shared" si="8"/>
        <v>99.367785333</v>
      </c>
      <c r="V51">
        <f t="shared" si="8"/>
        <v>21.584764641</v>
      </c>
      <c r="W51">
        <f t="shared" si="8"/>
        <v>18.076739293999999</v>
      </c>
      <c r="X51">
        <f t="shared" si="8"/>
        <v>51.361936360000001</v>
      </c>
      <c r="Y51">
        <f t="shared" si="8"/>
        <v>34.356723672000001</v>
      </c>
      <c r="Z51">
        <f t="shared" si="8"/>
        <v>130.27078347400001</v>
      </c>
      <c r="AA51">
        <f t="shared" si="8"/>
        <v>12.134221992000001</v>
      </c>
      <c r="AB51">
        <f t="shared" si="8"/>
        <v>39.440303333000003</v>
      </c>
      <c r="AC51">
        <f t="shared" si="8"/>
        <v>41.572154116999997</v>
      </c>
      <c r="AD51">
        <f t="shared" si="8"/>
        <v>25.053964319999999</v>
      </c>
      <c r="AE51">
        <f t="shared" si="8"/>
        <v>196.86782549900002</v>
      </c>
      <c r="AF51">
        <f t="shared" si="8"/>
        <v>5.2191098579999995</v>
      </c>
      <c r="AG51">
        <f t="shared" si="8"/>
        <v>18.602723081000001</v>
      </c>
      <c r="AH51">
        <f t="shared" si="8"/>
        <v>31.506017885999999</v>
      </c>
      <c r="AI51">
        <f t="shared" si="8"/>
        <v>8.6567472989999992</v>
      </c>
      <c r="AJ51">
        <f t="shared" si="8"/>
        <v>13.171719831000001</v>
      </c>
      <c r="AK51">
        <f t="shared" si="8"/>
        <v>50.277615655000005</v>
      </c>
      <c r="AL51">
        <f t="shared" si="8"/>
        <v>31.113813446999998</v>
      </c>
      <c r="AM51">
        <f t="shared" si="8"/>
        <v>16.884513711</v>
      </c>
      <c r="AN51">
        <f t="shared" si="8"/>
        <v>7.4810302339999994</v>
      </c>
      <c r="AO51">
        <f t="shared" si="8"/>
        <v>71.23004536900001</v>
      </c>
      <c r="AP51">
        <f t="shared" si="8"/>
        <v>104.15404214899999</v>
      </c>
      <c r="AQ51">
        <f t="shared" si="8"/>
        <v>29.313995069000001</v>
      </c>
      <c r="AR51">
        <f t="shared" si="8"/>
        <v>68.058233528000002</v>
      </c>
      <c r="AS51">
        <f t="shared" si="8"/>
        <v>50.119612741000005</v>
      </c>
      <c r="AT51">
        <f t="shared" si="8"/>
        <v>23.679026119</v>
      </c>
      <c r="AU51">
        <f t="shared" si="8"/>
        <v>77.588429200000007</v>
      </c>
    </row>
    <row r="52" spans="1:47" x14ac:dyDescent="0.2">
      <c r="A52" s="5"/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  <c r="P52" t="s">
        <v>4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  <c r="Z52" t="s">
        <v>4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t="s">
        <v>3</v>
      </c>
      <c r="AT52" t="s">
        <v>3</v>
      </c>
      <c r="AU52" t="s">
        <v>3</v>
      </c>
    </row>
    <row r="53" spans="1:47" x14ac:dyDescent="0.2">
      <c r="A53" s="5"/>
      <c r="B53" t="s">
        <v>191</v>
      </c>
      <c r="D53">
        <f>SUM(D32,D34:D35)</f>
        <v>12.980026287000001</v>
      </c>
      <c r="E53">
        <f t="shared" ref="E53:AU53" si="9">SUM(E32,E34:E35)</f>
        <v>21.247350016999999</v>
      </c>
      <c r="F53">
        <f t="shared" si="9"/>
        <v>28.798256631000001</v>
      </c>
      <c r="G53">
        <f t="shared" si="9"/>
        <v>9.7648051549999995</v>
      </c>
      <c r="H53">
        <f t="shared" si="9"/>
        <v>28.656200329999997</v>
      </c>
      <c r="I53">
        <f t="shared" si="9"/>
        <v>47.141736786999999</v>
      </c>
      <c r="J53">
        <f t="shared" si="9"/>
        <v>27.818883971000002</v>
      </c>
      <c r="K53">
        <f t="shared" si="9"/>
        <v>11.096227210999999</v>
      </c>
      <c r="L53">
        <f t="shared" si="9"/>
        <v>28.867238999999998</v>
      </c>
      <c r="M53">
        <f t="shared" si="9"/>
        <v>34.617592004000002</v>
      </c>
      <c r="N53">
        <f t="shared" si="9"/>
        <v>7.0018577189999993</v>
      </c>
      <c r="P53">
        <f t="shared" si="9"/>
        <v>41.189107354000001</v>
      </c>
      <c r="Q53">
        <f t="shared" si="9"/>
        <v>51.744759371000001</v>
      </c>
      <c r="R53">
        <f t="shared" si="9"/>
        <v>51.399162044999997</v>
      </c>
      <c r="S53">
        <f t="shared" si="9"/>
        <v>26.843362181</v>
      </c>
      <c r="T53">
        <f t="shared" si="9"/>
        <v>6.9248807040000004</v>
      </c>
      <c r="U53">
        <f t="shared" si="9"/>
        <v>87.705531229999991</v>
      </c>
      <c r="V53">
        <f t="shared" si="9"/>
        <v>35.710619155000003</v>
      </c>
      <c r="W53">
        <f t="shared" si="9"/>
        <v>18.357834342</v>
      </c>
      <c r="X53">
        <f t="shared" si="9"/>
        <v>47.597116204000002</v>
      </c>
      <c r="Y53">
        <f t="shared" si="9"/>
        <v>45.036113861000004</v>
      </c>
      <c r="Z53">
        <f t="shared" si="9"/>
        <v>38.164478885999998</v>
      </c>
      <c r="AA53">
        <f t="shared" si="9"/>
        <v>27.123772704</v>
      </c>
      <c r="AB53">
        <f t="shared" si="9"/>
        <v>38.043154467999997</v>
      </c>
      <c r="AC53">
        <f t="shared" si="9"/>
        <v>42.154956976999998</v>
      </c>
      <c r="AD53">
        <f t="shared" si="9"/>
        <v>30.030368376999999</v>
      </c>
      <c r="AE53">
        <f t="shared" si="9"/>
        <v>25.021017690000001</v>
      </c>
      <c r="AF53">
        <f t="shared" si="9"/>
        <v>20.762964324000002</v>
      </c>
      <c r="AG53">
        <f t="shared" si="9"/>
        <v>48.136547448999998</v>
      </c>
      <c r="AH53">
        <f t="shared" si="9"/>
        <v>68.698471830000003</v>
      </c>
      <c r="AI53">
        <f t="shared" si="9"/>
        <v>36.852257772000002</v>
      </c>
      <c r="AJ53">
        <f t="shared" si="9"/>
        <v>25.009748245000001</v>
      </c>
      <c r="AK53">
        <f t="shared" si="9"/>
        <v>84.803243780999992</v>
      </c>
      <c r="AL53">
        <f t="shared" si="9"/>
        <v>55.707090194999999</v>
      </c>
      <c r="AM53">
        <f t="shared" si="9"/>
        <v>40.556642658000001</v>
      </c>
      <c r="AN53">
        <f t="shared" si="9"/>
        <v>36.049226878999995</v>
      </c>
      <c r="AO53">
        <f t="shared" si="9"/>
        <v>57.058548285000001</v>
      </c>
      <c r="AP53">
        <f t="shared" si="9"/>
        <v>65.389128005000003</v>
      </c>
      <c r="AQ53">
        <f t="shared" si="9"/>
        <v>47.673863804999996</v>
      </c>
      <c r="AR53">
        <f t="shared" si="9"/>
        <v>118.46852904699999</v>
      </c>
      <c r="AS53">
        <f t="shared" si="9"/>
        <v>98.332202515000006</v>
      </c>
      <c r="AT53">
        <f t="shared" si="9"/>
        <v>54.602906259999997</v>
      </c>
      <c r="AU53">
        <f t="shared" si="9"/>
        <v>45.075728510999994</v>
      </c>
    </row>
    <row r="54" spans="1:47" x14ac:dyDescent="0.2">
      <c r="A54" s="5"/>
    </row>
    <row r="56" spans="1:47" x14ac:dyDescent="0.2">
      <c r="C56" s="6" t="s">
        <v>172</v>
      </c>
    </row>
    <row r="57" spans="1:47" x14ac:dyDescent="0.2">
      <c r="C57" s="6" t="s">
        <v>171</v>
      </c>
      <c r="D57">
        <f>SUM(D36:D37)</f>
        <v>9.1707308340000004</v>
      </c>
      <c r="E57">
        <f t="shared" ref="E57:AU57" si="10">SUM(E36:E37)</f>
        <v>8.117825117999999</v>
      </c>
      <c r="F57">
        <f t="shared" si="10"/>
        <v>12.908926472000001</v>
      </c>
      <c r="G57">
        <f t="shared" si="10"/>
        <v>6.6703613229999998</v>
      </c>
      <c r="H57">
        <f t="shared" si="10"/>
        <v>16.100546790999999</v>
      </c>
      <c r="I57">
        <f t="shared" si="10"/>
        <v>34.658995351999998</v>
      </c>
      <c r="J57">
        <f t="shared" si="10"/>
        <v>21.115823452000001</v>
      </c>
      <c r="K57">
        <f t="shared" si="10"/>
        <v>4.7073597540000005</v>
      </c>
      <c r="L57">
        <f t="shared" si="10"/>
        <v>9.1221086570000001</v>
      </c>
      <c r="M57">
        <f t="shared" si="10"/>
        <v>134.43567718</v>
      </c>
      <c r="N57">
        <f t="shared" si="10"/>
        <v>5.3726803469999993</v>
      </c>
      <c r="P57">
        <f t="shared" si="10"/>
        <v>28.918323210000001</v>
      </c>
      <c r="Q57">
        <f t="shared" si="10"/>
        <v>61.779121759999995</v>
      </c>
      <c r="R57">
        <f t="shared" si="10"/>
        <v>28.165202056000002</v>
      </c>
      <c r="S57">
        <f t="shared" si="10"/>
        <v>9.0190250079999998</v>
      </c>
      <c r="T57">
        <f t="shared" si="10"/>
        <v>5.8668714190000006</v>
      </c>
      <c r="U57">
        <f t="shared" si="10"/>
        <v>79.189835600000009</v>
      </c>
      <c r="V57">
        <f t="shared" si="10"/>
        <v>17.71838477</v>
      </c>
      <c r="W57">
        <f t="shared" si="10"/>
        <v>12.347948656</v>
      </c>
      <c r="X57">
        <f t="shared" si="10"/>
        <v>35.796760781000003</v>
      </c>
      <c r="Y57">
        <f t="shared" si="10"/>
        <v>23.130989487000001</v>
      </c>
      <c r="Z57">
        <f t="shared" si="10"/>
        <v>95.868475050000001</v>
      </c>
      <c r="AA57">
        <f t="shared" si="10"/>
        <v>7.3833421499999998</v>
      </c>
      <c r="AB57">
        <f t="shared" si="10"/>
        <v>24.014947523</v>
      </c>
      <c r="AC57">
        <f t="shared" si="10"/>
        <v>29.11509032</v>
      </c>
      <c r="AD57">
        <f t="shared" si="10"/>
        <v>18.332860128</v>
      </c>
      <c r="AE57">
        <f t="shared" si="10"/>
        <v>135.29997445000001</v>
      </c>
      <c r="AF57">
        <f t="shared" si="10"/>
        <v>2.7999329909999999</v>
      </c>
      <c r="AG57">
        <f t="shared" si="10"/>
        <v>9.811931779</v>
      </c>
      <c r="AH57">
        <f t="shared" si="10"/>
        <v>18.245543125999998</v>
      </c>
      <c r="AI57">
        <f t="shared" si="10"/>
        <v>6.4699490539999998</v>
      </c>
      <c r="AJ57">
        <f t="shared" si="10"/>
        <v>8.6064184539999999</v>
      </c>
      <c r="AK57">
        <f t="shared" si="10"/>
        <v>28.895016604000002</v>
      </c>
      <c r="AL57">
        <f t="shared" si="10"/>
        <v>19.403957943999998</v>
      </c>
      <c r="AM57">
        <f t="shared" si="10"/>
        <v>9.3860168829999999</v>
      </c>
      <c r="AN57">
        <f t="shared" si="10"/>
        <v>4.2393643009999993</v>
      </c>
      <c r="AO57">
        <f t="shared" si="10"/>
        <v>48.813258607000002</v>
      </c>
      <c r="AP57">
        <f t="shared" si="10"/>
        <v>69.752692048</v>
      </c>
      <c r="AQ57">
        <f t="shared" si="10"/>
        <v>16.156929825999999</v>
      </c>
      <c r="AR57">
        <f t="shared" si="10"/>
        <v>46.180881425999999</v>
      </c>
      <c r="AS57">
        <f t="shared" si="10"/>
        <v>28.955799599000002</v>
      </c>
      <c r="AT57">
        <f t="shared" si="10"/>
        <v>15.026025623000001</v>
      </c>
      <c r="AU57">
        <f t="shared" si="10"/>
        <v>47.18297973</v>
      </c>
    </row>
    <row r="58" spans="1:47" x14ac:dyDescent="0.2">
      <c r="C58" s="6" t="s">
        <v>166</v>
      </c>
      <c r="D58">
        <f>SUM(D39:D40)</f>
        <v>7.7795280459999994</v>
      </c>
      <c r="E58">
        <f t="shared" ref="E58:AU58" si="11">SUM(E39:E40)</f>
        <v>4.1379730309999996</v>
      </c>
      <c r="F58">
        <f t="shared" si="11"/>
        <v>36.647777520000005</v>
      </c>
      <c r="G58">
        <f t="shared" si="11"/>
        <v>5.8382967810000004</v>
      </c>
      <c r="H58">
        <f t="shared" si="11"/>
        <v>40.083875190000001</v>
      </c>
      <c r="I58">
        <f t="shared" si="11"/>
        <v>207.35641025999999</v>
      </c>
      <c r="J58">
        <f t="shared" si="11"/>
        <v>85.80766242</v>
      </c>
      <c r="K58">
        <f t="shared" si="11"/>
        <v>18.025523161000002</v>
      </c>
      <c r="L58">
        <f t="shared" si="11"/>
        <v>14.587225059</v>
      </c>
      <c r="M58">
        <f t="shared" si="11"/>
        <v>1249.8900647999999</v>
      </c>
      <c r="N58">
        <f t="shared" si="11"/>
        <v>10.002823181</v>
      </c>
      <c r="P58">
        <f t="shared" si="11"/>
        <v>50.069059590000002</v>
      </c>
      <c r="Q58">
        <f t="shared" si="11"/>
        <v>289.58355410000001</v>
      </c>
      <c r="R58">
        <f t="shared" si="11"/>
        <v>52.281672030000003</v>
      </c>
      <c r="S58">
        <f t="shared" si="11"/>
        <v>8.2320838839999997</v>
      </c>
      <c r="T58">
        <f t="shared" si="11"/>
        <v>7.0342694639999994</v>
      </c>
      <c r="U58">
        <f t="shared" si="11"/>
        <v>343.29078066</v>
      </c>
      <c r="V58">
        <f t="shared" si="11"/>
        <v>49.449836735999995</v>
      </c>
      <c r="W58">
        <f t="shared" si="11"/>
        <v>16.970204312</v>
      </c>
      <c r="X58">
        <f t="shared" si="11"/>
        <v>114.14188535599999</v>
      </c>
      <c r="Y58">
        <f t="shared" si="11"/>
        <v>80.114321521000008</v>
      </c>
      <c r="Z58">
        <f t="shared" si="11"/>
        <v>475.78071896999995</v>
      </c>
      <c r="AA58">
        <f t="shared" si="11"/>
        <v>25.611939367000002</v>
      </c>
      <c r="AB58">
        <f t="shared" si="11"/>
        <v>197.24301535000001</v>
      </c>
      <c r="AC58">
        <f t="shared" si="11"/>
        <v>104.74195955</v>
      </c>
      <c r="AD58">
        <f t="shared" si="11"/>
        <v>32.921974325000001</v>
      </c>
      <c r="AE58">
        <f t="shared" si="11"/>
        <v>906.97084740000003</v>
      </c>
      <c r="AF58">
        <f t="shared" si="11"/>
        <v>13.255596698</v>
      </c>
      <c r="AG58">
        <f t="shared" si="11"/>
        <v>58.967192089999998</v>
      </c>
      <c r="AH58">
        <f t="shared" si="11"/>
        <v>89.500418474</v>
      </c>
      <c r="AI58">
        <f t="shared" si="11"/>
        <v>9.4327012840000002</v>
      </c>
      <c r="AJ58">
        <f t="shared" si="11"/>
        <v>11.619866936999999</v>
      </c>
      <c r="AK58">
        <f t="shared" si="11"/>
        <v>239.53225792000001</v>
      </c>
      <c r="AL58">
        <f t="shared" si="11"/>
        <v>184.52809717000002</v>
      </c>
      <c r="AM58">
        <f t="shared" si="11"/>
        <v>36.809247673999998</v>
      </c>
      <c r="AN58">
        <f t="shared" si="11"/>
        <v>9.4914851549999995</v>
      </c>
      <c r="AO58">
        <f t="shared" si="11"/>
        <v>328.441388846</v>
      </c>
      <c r="AP58">
        <f t="shared" si="11"/>
        <v>461.35633846000002</v>
      </c>
      <c r="AQ58">
        <f t="shared" si="11"/>
        <v>124.621463546</v>
      </c>
      <c r="AR58">
        <f t="shared" si="11"/>
        <v>185.83956264</v>
      </c>
      <c r="AS58">
        <f t="shared" si="11"/>
        <v>158.14155875</v>
      </c>
      <c r="AT58">
        <f t="shared" si="11"/>
        <v>67.302354584</v>
      </c>
      <c r="AU58">
        <f t="shared" si="11"/>
        <v>249.26244739999999</v>
      </c>
    </row>
    <row r="59" spans="1:47" x14ac:dyDescent="0.2">
      <c r="C59" t="s">
        <v>167</v>
      </c>
      <c r="D59">
        <f>SUM(D31:D41)</f>
        <v>118.76107327999999</v>
      </c>
      <c r="E59">
        <f t="shared" ref="E59:AU59" si="12">SUM(E31:E41)</f>
        <v>122.24960990800001</v>
      </c>
      <c r="F59">
        <f t="shared" si="12"/>
        <v>201.42952568999999</v>
      </c>
      <c r="G59">
        <f t="shared" si="12"/>
        <v>99.174838846</v>
      </c>
      <c r="H59">
        <f t="shared" si="12"/>
        <v>295.58254446000001</v>
      </c>
      <c r="I59">
        <f t="shared" si="12"/>
        <v>733.64639521200002</v>
      </c>
      <c r="J59">
        <f t="shared" si="12"/>
        <v>449.07730909099996</v>
      </c>
      <c r="K59">
        <f t="shared" si="12"/>
        <v>87.96865535500001</v>
      </c>
      <c r="L59">
        <f t="shared" si="12"/>
        <v>168.89749656199999</v>
      </c>
      <c r="M59">
        <f t="shared" si="12"/>
        <v>2481.6627357329999</v>
      </c>
      <c r="N59">
        <f t="shared" si="12"/>
        <v>84.949955818999996</v>
      </c>
      <c r="P59">
        <f t="shared" si="12"/>
        <v>374.91922346199999</v>
      </c>
      <c r="Q59">
        <f t="shared" si="12"/>
        <v>840.26759717699997</v>
      </c>
      <c r="R59">
        <f t="shared" si="12"/>
        <v>471.676479433</v>
      </c>
      <c r="S59">
        <f t="shared" si="12"/>
        <v>164.28741402</v>
      </c>
      <c r="T59">
        <f t="shared" si="12"/>
        <v>88.691225431999996</v>
      </c>
      <c r="U59">
        <f t="shared" si="12"/>
        <v>1166.6584079919999</v>
      </c>
      <c r="V59">
        <f t="shared" si="12"/>
        <v>323.08358413576002</v>
      </c>
      <c r="W59">
        <f t="shared" si="12"/>
        <v>209.17527822300002</v>
      </c>
      <c r="X59">
        <f t="shared" si="12"/>
        <v>660.603383205</v>
      </c>
      <c r="Y59">
        <f t="shared" si="12"/>
        <v>405.093244954</v>
      </c>
      <c r="Z59">
        <f t="shared" si="12"/>
        <v>1512.3782311149998</v>
      </c>
      <c r="AA59">
        <f t="shared" si="12"/>
        <v>157.25527767400001</v>
      </c>
      <c r="AB59">
        <f t="shared" si="12"/>
        <v>601.52633396099998</v>
      </c>
      <c r="AC59">
        <f t="shared" si="12"/>
        <v>449.94383330500006</v>
      </c>
      <c r="AD59">
        <f t="shared" si="12"/>
        <v>246.96348246700001</v>
      </c>
      <c r="AE59">
        <f t="shared" si="12"/>
        <v>2082.6390747160003</v>
      </c>
      <c r="AF59">
        <f t="shared" si="12"/>
        <v>101.36586802241</v>
      </c>
      <c r="AG59">
        <f t="shared" si="12"/>
        <v>297.13754619500003</v>
      </c>
      <c r="AH59">
        <f t="shared" si="12"/>
        <v>501.17117910100001</v>
      </c>
      <c r="AI59">
        <f t="shared" si="12"/>
        <v>127.47404938699999</v>
      </c>
      <c r="AJ59">
        <f t="shared" si="12"/>
        <v>200.20604370999999</v>
      </c>
      <c r="AK59">
        <f t="shared" si="12"/>
        <v>807.94573929600006</v>
      </c>
      <c r="AL59">
        <f t="shared" si="12"/>
        <v>609.05836394599999</v>
      </c>
      <c r="AM59">
        <f t="shared" si="12"/>
        <v>287.32805623499996</v>
      </c>
      <c r="AN59">
        <f t="shared" si="12"/>
        <v>157.01269316</v>
      </c>
      <c r="AO59">
        <f t="shared" si="12"/>
        <v>968.15271440262995</v>
      </c>
      <c r="AP59">
        <f t="shared" si="12"/>
        <v>1198.709491672</v>
      </c>
      <c r="AQ59">
        <f t="shared" si="12"/>
        <v>423.89724995500001</v>
      </c>
      <c r="AR59">
        <f t="shared" si="12"/>
        <v>803.92167644200003</v>
      </c>
      <c r="AS59">
        <f t="shared" si="12"/>
        <v>728.27044052500003</v>
      </c>
      <c r="AT59">
        <f t="shared" si="12"/>
        <v>336.26064357899998</v>
      </c>
      <c r="AU59">
        <f t="shared" si="12"/>
        <v>832.32522809099999</v>
      </c>
    </row>
    <row r="60" spans="1:47" x14ac:dyDescent="0.2">
      <c r="C60" t="s">
        <v>168</v>
      </c>
      <c r="D60">
        <f>D58*100/D59</f>
        <v>6.5505706803932311</v>
      </c>
      <c r="E60">
        <f t="shared" ref="E60:AU60" si="13">E58*100/E59</f>
        <v>3.3848558159932507</v>
      </c>
      <c r="F60">
        <f t="shared" si="13"/>
        <v>18.193845909363322</v>
      </c>
      <c r="G60">
        <f t="shared" si="13"/>
        <v>5.886872969933215</v>
      </c>
      <c r="H60">
        <f t="shared" si="13"/>
        <v>13.560975078291332</v>
      </c>
      <c r="I60">
        <f t="shared" si="13"/>
        <v>28.263808234221706</v>
      </c>
      <c r="J60">
        <f t="shared" si="13"/>
        <v>19.107548006308228</v>
      </c>
      <c r="K60">
        <f t="shared" si="13"/>
        <v>20.490847664156615</v>
      </c>
      <c r="L60">
        <f t="shared" si="13"/>
        <v>8.6367325483982089</v>
      </c>
      <c r="M60">
        <f t="shared" si="13"/>
        <v>50.365025303521925</v>
      </c>
      <c r="N60">
        <f t="shared" si="13"/>
        <v>11.774959839075935</v>
      </c>
      <c r="P60">
        <f t="shared" si="13"/>
        <v>13.354625865183134</v>
      </c>
      <c r="Q60">
        <f t="shared" si="13"/>
        <v>34.463253738796745</v>
      </c>
      <c r="R60">
        <f t="shared" si="13"/>
        <v>11.084222832744924</v>
      </c>
      <c r="S60">
        <f t="shared" si="13"/>
        <v>5.0107818259272401</v>
      </c>
      <c r="T60">
        <f t="shared" si="13"/>
        <v>7.9311898440203743</v>
      </c>
      <c r="U60">
        <f t="shared" si="13"/>
        <v>29.425132353081544</v>
      </c>
      <c r="V60">
        <f t="shared" si="13"/>
        <v>15.305586282966679</v>
      </c>
      <c r="W60">
        <f t="shared" si="13"/>
        <v>8.112911074466556</v>
      </c>
      <c r="X60">
        <f t="shared" si="13"/>
        <v>17.27842882097066</v>
      </c>
      <c r="Y60">
        <f t="shared" si="13"/>
        <v>19.776760664102735</v>
      </c>
      <c r="Z60">
        <f t="shared" si="13"/>
        <v>31.459109181916148</v>
      </c>
      <c r="AA60">
        <f t="shared" si="13"/>
        <v>16.286855198650404</v>
      </c>
      <c r="AB60">
        <f t="shared" si="13"/>
        <v>32.790420670558426</v>
      </c>
      <c r="AC60">
        <f t="shared" si="13"/>
        <v>23.278896563740517</v>
      </c>
      <c r="AD60">
        <f t="shared" si="13"/>
        <v>13.33070541285355</v>
      </c>
      <c r="AE60">
        <f t="shared" si="13"/>
        <v>43.549113161803106</v>
      </c>
      <c r="AF60">
        <f t="shared" si="13"/>
        <v>13.076982377410754</v>
      </c>
      <c r="AG60">
        <f t="shared" si="13"/>
        <v>19.845082805961546</v>
      </c>
      <c r="AH60">
        <f t="shared" si="13"/>
        <v>17.858253268782473</v>
      </c>
      <c r="AI60">
        <f t="shared" si="13"/>
        <v>7.3997031783019214</v>
      </c>
      <c r="AJ60">
        <f t="shared" si="13"/>
        <v>5.8039541272947117</v>
      </c>
      <c r="AK60">
        <f t="shared" si="13"/>
        <v>29.64707235521972</v>
      </c>
      <c r="AL60">
        <f t="shared" si="13"/>
        <v>30.297276598332793</v>
      </c>
      <c r="AM60">
        <f t="shared" si="13"/>
        <v>12.810878323658876</v>
      </c>
      <c r="AN60">
        <f t="shared" si="13"/>
        <v>6.04504321528192</v>
      </c>
      <c r="AO60">
        <f t="shared" si="13"/>
        <v>33.924543510540587</v>
      </c>
      <c r="AP60">
        <f t="shared" si="13"/>
        <v>38.487752175590501</v>
      </c>
      <c r="AQ60">
        <f t="shared" si="13"/>
        <v>29.398979011831177</v>
      </c>
      <c r="AR60">
        <f t="shared" si="13"/>
        <v>23.116625423323516</v>
      </c>
      <c r="AS60">
        <f t="shared" si="13"/>
        <v>21.714674927077631</v>
      </c>
      <c r="AT60">
        <f t="shared" si="13"/>
        <v>20.014936588375441</v>
      </c>
      <c r="AU60">
        <f t="shared" si="13"/>
        <v>29.947722234937178</v>
      </c>
    </row>
    <row r="61" spans="1:47" x14ac:dyDescent="0.2">
      <c r="C61" s="6" t="s">
        <v>175</v>
      </c>
      <c r="D61">
        <f>D40*100/D59</f>
        <v>4.4054697077927925</v>
      </c>
      <c r="E61">
        <f t="shared" ref="E61:AU61" si="14">E40*100/E59</f>
        <v>2.6037890226361342</v>
      </c>
      <c r="F61">
        <f t="shared" si="14"/>
        <v>12.422567344228355</v>
      </c>
      <c r="G61">
        <f t="shared" si="14"/>
        <v>3.5372828590600642</v>
      </c>
      <c r="H61">
        <f t="shared" si="14"/>
        <v>8.9827550197549311</v>
      </c>
      <c r="I61">
        <f t="shared" si="14"/>
        <v>23.883584700142467</v>
      </c>
      <c r="J61">
        <f t="shared" si="14"/>
        <v>14.366503132966464</v>
      </c>
      <c r="K61">
        <f t="shared" si="14"/>
        <v>12.916844396615137</v>
      </c>
      <c r="L61">
        <f t="shared" si="14"/>
        <v>6.2251837972864124</v>
      </c>
      <c r="M61">
        <f t="shared" si="14"/>
        <v>43.508869495156439</v>
      </c>
      <c r="N61">
        <f t="shared" si="14"/>
        <v>8.6623668476989977</v>
      </c>
      <c r="P61">
        <f t="shared" si="14"/>
        <v>8.5007480399922155</v>
      </c>
      <c r="Q61">
        <f t="shared" si="14"/>
        <v>25.791000667891986</v>
      </c>
      <c r="R61">
        <f t="shared" si="14"/>
        <v>8.1688065125310327</v>
      </c>
      <c r="S61">
        <f t="shared" si="14"/>
        <v>2.9865072782767754</v>
      </c>
      <c r="T61">
        <f t="shared" si="14"/>
        <v>4.473007440901406</v>
      </c>
      <c r="U61">
        <f t="shared" si="14"/>
        <v>29.167982004749195</v>
      </c>
      <c r="V61">
        <f t="shared" si="14"/>
        <v>15.236438366771059</v>
      </c>
      <c r="W61">
        <f t="shared" si="14"/>
        <v>5.8076839114079553</v>
      </c>
      <c r="X61">
        <f t="shared" si="14"/>
        <v>16.00903473834942</v>
      </c>
      <c r="Y61">
        <f t="shared" si="14"/>
        <v>17.919323687622313</v>
      </c>
      <c r="Z61">
        <f t="shared" si="14"/>
        <v>26.812568830816872</v>
      </c>
      <c r="AA61">
        <f t="shared" si="14"/>
        <v>13.025722826590187</v>
      </c>
      <c r="AB61">
        <f t="shared" si="14"/>
        <v>30.689253533490159</v>
      </c>
      <c r="AC61">
        <f t="shared" si="14"/>
        <v>20.727480406822508</v>
      </c>
      <c r="AD61">
        <f t="shared" si="14"/>
        <v>11.091306599816891</v>
      </c>
      <c r="AE61">
        <f t="shared" si="14"/>
        <v>37.352380268101939</v>
      </c>
      <c r="AF61">
        <f t="shared" si="14"/>
        <v>12.9115779456518</v>
      </c>
      <c r="AG61">
        <f t="shared" si="14"/>
        <v>19.218261054940658</v>
      </c>
      <c r="AH61">
        <f t="shared" si="14"/>
        <v>17.345849106075732</v>
      </c>
      <c r="AI61">
        <f t="shared" si="14"/>
        <v>6.9812201014989954</v>
      </c>
      <c r="AJ61">
        <f t="shared" si="14"/>
        <v>5.3376514174962608</v>
      </c>
      <c r="AK61">
        <f t="shared" si="14"/>
        <v>27.982082175096792</v>
      </c>
      <c r="AL61">
        <f t="shared" si="14"/>
        <v>28.214494122805583</v>
      </c>
      <c r="AM61">
        <f t="shared" si="14"/>
        <v>11.690676751220881</v>
      </c>
      <c r="AN61">
        <f t="shared" si="14"/>
        <v>5.4473760120044554</v>
      </c>
      <c r="AO61">
        <f t="shared" si="14"/>
        <v>33.772146742546155</v>
      </c>
      <c r="AP61">
        <f t="shared" si="14"/>
        <v>37.087699270645935</v>
      </c>
      <c r="AQ61">
        <f t="shared" si="14"/>
        <v>28.581977616712987</v>
      </c>
      <c r="AR61">
        <f t="shared" si="14"/>
        <v>21.241102125241653</v>
      </c>
      <c r="AS61">
        <f t="shared" si="14"/>
        <v>20.067119598407373</v>
      </c>
      <c r="AT61">
        <f t="shared" si="14"/>
        <v>19.231204738001804</v>
      </c>
      <c r="AU61">
        <f t="shared" si="14"/>
        <v>12.716049811772423</v>
      </c>
    </row>
    <row r="62" spans="1:47" x14ac:dyDescent="0.2">
      <c r="C62" s="6" t="s">
        <v>176</v>
      </c>
      <c r="D62">
        <f>D39*100/D59</f>
        <v>2.1451009726004391</v>
      </c>
      <c r="E62">
        <f t="shared" ref="E62:AU62" si="15">E39*100/E59</f>
        <v>0.78106679335711693</v>
      </c>
      <c r="F62">
        <f t="shared" si="15"/>
        <v>5.771278565134967</v>
      </c>
      <c r="G62">
        <f t="shared" si="15"/>
        <v>2.3495901108731507</v>
      </c>
      <c r="H62">
        <f t="shared" si="15"/>
        <v>4.5782200585364032</v>
      </c>
      <c r="I62">
        <f t="shared" si="15"/>
        <v>4.3802235340792386</v>
      </c>
      <c r="J62">
        <f t="shared" si="15"/>
        <v>4.7410448733417629</v>
      </c>
      <c r="K62">
        <f t="shared" si="15"/>
        <v>7.5740032675414755</v>
      </c>
      <c r="L62">
        <f t="shared" si="15"/>
        <v>2.4115487511117966</v>
      </c>
      <c r="M62">
        <f t="shared" si="15"/>
        <v>6.8561558083654894</v>
      </c>
      <c r="N62">
        <f t="shared" si="15"/>
        <v>3.112592991376939</v>
      </c>
      <c r="P62">
        <f t="shared" si="15"/>
        <v>4.853877825190918</v>
      </c>
      <c r="Q62">
        <f t="shared" si="15"/>
        <v>8.6722530709047572</v>
      </c>
      <c r="R62">
        <f t="shared" si="15"/>
        <v>2.915416320213891</v>
      </c>
      <c r="S62">
        <f t="shared" si="15"/>
        <v>2.0242745476504642</v>
      </c>
      <c r="T62">
        <f t="shared" si="15"/>
        <v>3.4581824031189692</v>
      </c>
      <c r="U62">
        <f t="shared" si="15"/>
        <v>0.25715034833234346</v>
      </c>
      <c r="V62">
        <f t="shared" si="15"/>
        <v>6.914791619561976E-2</v>
      </c>
      <c r="W62">
        <f t="shared" si="15"/>
        <v>2.3052271630586016</v>
      </c>
      <c r="X62">
        <f t="shared" si="15"/>
        <v>1.2693940826212424</v>
      </c>
      <c r="Y62">
        <f t="shared" si="15"/>
        <v>1.8574369764804204</v>
      </c>
      <c r="Z62">
        <f t="shared" si="15"/>
        <v>4.6465403510992802</v>
      </c>
      <c r="AA62">
        <f t="shared" si="15"/>
        <v>3.2611323720602186</v>
      </c>
      <c r="AB62">
        <f t="shared" si="15"/>
        <v>2.1011671370682592</v>
      </c>
      <c r="AC62">
        <f t="shared" si="15"/>
        <v>2.551416156918008</v>
      </c>
      <c r="AD62">
        <f t="shared" si="15"/>
        <v>2.2393988130366607</v>
      </c>
      <c r="AE62">
        <f t="shared" si="15"/>
        <v>6.1967328937011672</v>
      </c>
      <c r="AF62">
        <f t="shared" si="15"/>
        <v>0.16540443175895547</v>
      </c>
      <c r="AG62">
        <f t="shared" si="15"/>
        <v>0.62682175102088822</v>
      </c>
      <c r="AH62">
        <f t="shared" si="15"/>
        <v>0.51240416270674494</v>
      </c>
      <c r="AI62">
        <f t="shared" si="15"/>
        <v>0.41848307680292679</v>
      </c>
      <c r="AJ62">
        <f t="shared" si="15"/>
        <v>0.46630270979845045</v>
      </c>
      <c r="AK62">
        <f t="shared" si="15"/>
        <v>1.6649901801229288</v>
      </c>
      <c r="AL62">
        <f t="shared" si="15"/>
        <v>2.082782475527206</v>
      </c>
      <c r="AM62">
        <f t="shared" si="15"/>
        <v>1.1202015724379963</v>
      </c>
      <c r="AN62">
        <f t="shared" si="15"/>
        <v>0.59766720327746525</v>
      </c>
      <c r="AO62">
        <f t="shared" si="15"/>
        <v>0.15239676799443491</v>
      </c>
      <c r="AP62">
        <f t="shared" si="15"/>
        <v>1.4000529049445598</v>
      </c>
      <c r="AQ62">
        <f t="shared" si="15"/>
        <v>0.81700139511819214</v>
      </c>
      <c r="AR62">
        <f t="shared" si="15"/>
        <v>1.8755232980818628</v>
      </c>
      <c r="AS62">
        <f t="shared" si="15"/>
        <v>1.647555328670258</v>
      </c>
      <c r="AT62">
        <f t="shared" si="15"/>
        <v>0.78373185037363791</v>
      </c>
      <c r="AU62">
        <f t="shared" si="15"/>
        <v>17.231672423164756</v>
      </c>
    </row>
    <row r="63" spans="1:47" x14ac:dyDescent="0.2">
      <c r="C63" s="6" t="s">
        <v>188</v>
      </c>
      <c r="D63">
        <f>D36*100/D59</f>
        <v>4.595161730421168</v>
      </c>
      <c r="E63">
        <f t="shared" ref="E63:AU63" si="16">E36*100/E59</f>
        <v>4.8904978637553587</v>
      </c>
      <c r="F63">
        <f t="shared" si="16"/>
        <v>3.8108974077682047</v>
      </c>
      <c r="G63">
        <f t="shared" si="16"/>
        <v>5.2802706240154489</v>
      </c>
      <c r="H63">
        <f t="shared" si="16"/>
        <v>4.484642266077338</v>
      </c>
      <c r="I63">
        <f t="shared" si="16"/>
        <v>3.6914643725843006</v>
      </c>
      <c r="J63">
        <f t="shared" si="16"/>
        <v>3.3378535246728656</v>
      </c>
      <c r="K63">
        <f t="shared" si="16"/>
        <v>2.7866475872654877</v>
      </c>
      <c r="L63">
        <f t="shared" si="16"/>
        <v>3.8126328590288892</v>
      </c>
      <c r="M63">
        <f t="shared" si="16"/>
        <v>4.0701606767756751</v>
      </c>
      <c r="N63">
        <f t="shared" si="16"/>
        <v>5.171788862799338</v>
      </c>
      <c r="P63">
        <f t="shared" si="16"/>
        <v>4.4265681942772126</v>
      </c>
      <c r="Q63">
        <f t="shared" si="16"/>
        <v>5.7884437390431067</v>
      </c>
      <c r="R63">
        <f t="shared" si="16"/>
        <v>4.893665136270327</v>
      </c>
      <c r="S63">
        <f t="shared" si="16"/>
        <v>3.5344255606172701</v>
      </c>
      <c r="T63">
        <f t="shared" si="16"/>
        <v>3.8991360894561238</v>
      </c>
      <c r="U63">
        <f t="shared" si="16"/>
        <v>5.903702915795753</v>
      </c>
      <c r="V63">
        <f t="shared" si="16"/>
        <v>4.4125659643572295</v>
      </c>
      <c r="W63">
        <f t="shared" si="16"/>
        <v>4.3968820651907787</v>
      </c>
      <c r="X63">
        <f t="shared" si="16"/>
        <v>4.4319360503357474</v>
      </c>
      <c r="Y63">
        <f t="shared" si="16"/>
        <v>3.4422726332016338</v>
      </c>
      <c r="Z63">
        <f t="shared" si="16"/>
        <v>5.3061018083311726</v>
      </c>
      <c r="AA63">
        <f t="shared" si="16"/>
        <v>4.0201037723551245</v>
      </c>
      <c r="AB63">
        <f t="shared" si="16"/>
        <v>3.7215655801116445</v>
      </c>
      <c r="AC63">
        <f t="shared" si="16"/>
        <v>5.7142034998336504</v>
      </c>
      <c r="AD63">
        <f t="shared" si="16"/>
        <v>4.297683059850046</v>
      </c>
      <c r="AE63">
        <f t="shared" si="16"/>
        <v>5.2414432450272583</v>
      </c>
      <c r="AF63">
        <f t="shared" si="16"/>
        <v>2.7482900559625341</v>
      </c>
      <c r="AG63">
        <f t="shared" si="16"/>
        <v>3.0949547789443064</v>
      </c>
      <c r="AH63">
        <f t="shared" si="16"/>
        <v>3.6127742944993044</v>
      </c>
      <c r="AI63">
        <f t="shared" si="16"/>
        <v>3.0609794870123013</v>
      </c>
      <c r="AJ63">
        <f t="shared" si="16"/>
        <v>4.2180592341319976</v>
      </c>
      <c r="AK63">
        <f t="shared" si="16"/>
        <v>3.3035355992169588</v>
      </c>
      <c r="AL63">
        <f t="shared" si="16"/>
        <v>2.7954894207001755</v>
      </c>
      <c r="AM63">
        <f t="shared" si="16"/>
        <v>3.249673711767036</v>
      </c>
      <c r="AN63">
        <f t="shared" si="16"/>
        <v>2.6909198632078288</v>
      </c>
      <c r="AO63">
        <f t="shared" si="16"/>
        <v>5.0129793221667551</v>
      </c>
      <c r="AP63">
        <f t="shared" si="16"/>
        <v>5.7320259818882819</v>
      </c>
      <c r="AQ63">
        <f t="shared" si="16"/>
        <v>3.8068189099393939</v>
      </c>
      <c r="AR63">
        <f t="shared" si="16"/>
        <v>5.033034006381734</v>
      </c>
      <c r="AS63">
        <f t="shared" si="16"/>
        <v>3.9610626004818243</v>
      </c>
      <c r="AT63">
        <f t="shared" si="16"/>
        <v>4.2689447141998151</v>
      </c>
      <c r="AU63">
        <f t="shared" si="16"/>
        <v>1.611931315691556</v>
      </c>
    </row>
    <row r="64" spans="1:47" x14ac:dyDescent="0.2">
      <c r="C64" s="6" t="s">
        <v>189</v>
      </c>
      <c r="D64">
        <f>D33*100/D59</f>
        <v>2.3083721915652937</v>
      </c>
      <c r="E64">
        <f t="shared" ref="E64:AU64" si="17">E33*100/E59</f>
        <v>1.2416104420638083</v>
      </c>
      <c r="F64">
        <f t="shared" si="17"/>
        <v>3.2797507189523087</v>
      </c>
      <c r="G64">
        <f t="shared" si="17"/>
        <v>1.5650316028344131</v>
      </c>
      <c r="H64">
        <f t="shared" si="17"/>
        <v>1.4772268663486288</v>
      </c>
      <c r="I64">
        <f t="shared" si="17"/>
        <v>0.61327774638623433</v>
      </c>
      <c r="J64">
        <f t="shared" si="17"/>
        <v>0.83133655328897582</v>
      </c>
      <c r="K64">
        <f t="shared" si="17"/>
        <v>3.4756473219483137</v>
      </c>
      <c r="L64">
        <f t="shared" si="17"/>
        <v>2.0389146287528739</v>
      </c>
      <c r="M64">
        <f t="shared" si="17"/>
        <v>0.12077618166413377</v>
      </c>
      <c r="N64">
        <f t="shared" si="17"/>
        <v>1.2947102060222673</v>
      </c>
      <c r="P64">
        <f t="shared" si="17"/>
        <v>1.9065253488461043</v>
      </c>
      <c r="Q64">
        <f t="shared" si="17"/>
        <v>1.2245271202374577</v>
      </c>
      <c r="R64">
        <f t="shared" si="17"/>
        <v>1.1137922241353229</v>
      </c>
      <c r="S64">
        <f t="shared" si="17"/>
        <v>2.1188497206342474</v>
      </c>
      <c r="T64">
        <f t="shared" si="17"/>
        <v>1.7738594706938902</v>
      </c>
      <c r="U64">
        <f t="shared" si="17"/>
        <v>1.1232856858723179E-2</v>
      </c>
      <c r="V64">
        <f t="shared" si="17"/>
        <v>1.1637855293879756E-9</v>
      </c>
      <c r="W64">
        <f t="shared" si="17"/>
        <v>0.89227015298157619</v>
      </c>
      <c r="X64">
        <f t="shared" si="17"/>
        <v>0.20748674921252291</v>
      </c>
      <c r="Y64">
        <f t="shared" si="17"/>
        <v>0.44651889966849451</v>
      </c>
      <c r="Z64">
        <f t="shared" si="17"/>
        <v>0.20702832932814924</v>
      </c>
      <c r="AA64">
        <f t="shared" si="17"/>
        <v>1.1966695610058586</v>
      </c>
      <c r="AB64">
        <f t="shared" si="17"/>
        <v>0.23361986510986432</v>
      </c>
      <c r="AC64">
        <f t="shared" si="17"/>
        <v>0.58647950381203173</v>
      </c>
      <c r="AD64">
        <f t="shared" si="17"/>
        <v>0.83430312223400072</v>
      </c>
      <c r="AE64">
        <f t="shared" si="17"/>
        <v>0.10167920369441684</v>
      </c>
      <c r="AF64">
        <f t="shared" si="17"/>
        <v>2.3775261308542204E-9</v>
      </c>
      <c r="AG64">
        <f t="shared" si="17"/>
        <v>0.23877698530039848</v>
      </c>
      <c r="AH64">
        <f t="shared" si="17"/>
        <v>8.0790881017202554E-2</v>
      </c>
      <c r="AI64">
        <f t="shared" si="17"/>
        <v>0.33627683756919702</v>
      </c>
      <c r="AJ64">
        <f t="shared" si="17"/>
        <v>0.1994532680434036</v>
      </c>
      <c r="AK64">
        <f t="shared" si="17"/>
        <v>0.23394502230396966</v>
      </c>
      <c r="AL64">
        <f t="shared" si="17"/>
        <v>0.29543571528056961</v>
      </c>
      <c r="AM64">
        <f t="shared" si="17"/>
        <v>0.3682485469273547</v>
      </c>
      <c r="AN64">
        <f t="shared" si="17"/>
        <v>0.43261259859279011</v>
      </c>
      <c r="AO64">
        <f t="shared" si="17"/>
        <v>2.7165135839367692E-10</v>
      </c>
      <c r="AP64">
        <f t="shared" si="17"/>
        <v>0.10031976607798887</v>
      </c>
      <c r="AQ64">
        <f t="shared" si="17"/>
        <v>0.18925733419718238</v>
      </c>
      <c r="AR64">
        <f t="shared" si="17"/>
        <v>0.4773601632418315</v>
      </c>
      <c r="AS64">
        <f t="shared" si="17"/>
        <v>0.48836085073507929</v>
      </c>
      <c r="AT64">
        <f t="shared" si="17"/>
        <v>0.26108473672558802</v>
      </c>
      <c r="AU64">
        <f t="shared" si="17"/>
        <v>2.2381758898173465</v>
      </c>
    </row>
    <row r="66" spans="1:47" x14ac:dyDescent="0.2">
      <c r="C66" s="1" t="s">
        <v>104</v>
      </c>
      <c r="D66" s="1"/>
      <c r="E66" s="1"/>
      <c r="F66" s="1"/>
      <c r="G66" s="1"/>
    </row>
    <row r="68" spans="1:47" x14ac:dyDescent="0.2">
      <c r="D68" t="s">
        <v>46</v>
      </c>
      <c r="E68" t="s">
        <v>47</v>
      </c>
      <c r="F68" t="s">
        <v>48</v>
      </c>
      <c r="G68" t="s">
        <v>49</v>
      </c>
      <c r="H68" t="s">
        <v>50</v>
      </c>
      <c r="I68" t="s">
        <v>51</v>
      </c>
      <c r="J68" t="s">
        <v>52</v>
      </c>
      <c r="K68" t="s">
        <v>53</v>
      </c>
      <c r="L68" t="s">
        <v>54</v>
      </c>
      <c r="M68" t="s">
        <v>55</v>
      </c>
      <c r="N68" t="s">
        <v>56</v>
      </c>
      <c r="P68" t="s">
        <v>68</v>
      </c>
      <c r="Q68" t="s">
        <v>69</v>
      </c>
      <c r="R68" t="s">
        <v>70</v>
      </c>
      <c r="S68" t="s">
        <v>71</v>
      </c>
      <c r="T68" t="s">
        <v>72</v>
      </c>
      <c r="U68" t="s">
        <v>73</v>
      </c>
      <c r="V68" t="s">
        <v>74</v>
      </c>
      <c r="W68" t="s">
        <v>75</v>
      </c>
      <c r="X68" t="s">
        <v>76</v>
      </c>
      <c r="Y68" t="s">
        <v>77</v>
      </c>
      <c r="Z68" t="s">
        <v>78</v>
      </c>
      <c r="AA68" t="s">
        <v>79</v>
      </c>
      <c r="AB68" t="s">
        <v>80</v>
      </c>
      <c r="AC68" t="s">
        <v>81</v>
      </c>
      <c r="AD68" t="s">
        <v>82</v>
      </c>
      <c r="AE68" t="s">
        <v>83</v>
      </c>
      <c r="AF68" t="s">
        <v>84</v>
      </c>
      <c r="AG68" t="s">
        <v>85</v>
      </c>
      <c r="AH68" t="s">
        <v>86</v>
      </c>
      <c r="AI68" t="s">
        <v>87</v>
      </c>
      <c r="AJ68" t="s">
        <v>88</v>
      </c>
      <c r="AK68" t="s">
        <v>57</v>
      </c>
      <c r="AL68" t="s">
        <v>58</v>
      </c>
      <c r="AM68" t="s">
        <v>59</v>
      </c>
      <c r="AN68" t="s">
        <v>60</v>
      </c>
      <c r="AO68" t="s">
        <v>61</v>
      </c>
      <c r="AP68" t="s">
        <v>62</v>
      </c>
      <c r="AQ68" t="s">
        <v>63</v>
      </c>
      <c r="AR68" t="s">
        <v>64</v>
      </c>
      <c r="AS68" t="s">
        <v>65</v>
      </c>
      <c r="AT68" t="s">
        <v>66</v>
      </c>
      <c r="AU68" t="s">
        <v>67</v>
      </c>
    </row>
    <row r="69" spans="1:47" s="7" customFormat="1" x14ac:dyDescent="0.2">
      <c r="A69" s="7" t="s">
        <v>37</v>
      </c>
      <c r="B69" s="7" t="s">
        <v>158</v>
      </c>
      <c r="C69" s="7" t="s">
        <v>0</v>
      </c>
      <c r="D69" s="7" t="s">
        <v>90</v>
      </c>
      <c r="E69" s="7" t="s">
        <v>90</v>
      </c>
      <c r="F69" s="7" t="s">
        <v>90</v>
      </c>
      <c r="G69" s="7" t="s">
        <v>90</v>
      </c>
      <c r="H69" s="7" t="s">
        <v>90</v>
      </c>
      <c r="I69" s="7" t="s">
        <v>90</v>
      </c>
      <c r="J69" s="7" t="s">
        <v>90</v>
      </c>
      <c r="K69" s="7" t="s">
        <v>90</v>
      </c>
      <c r="L69" s="7" t="s">
        <v>90</v>
      </c>
      <c r="M69" s="7" t="s">
        <v>90</v>
      </c>
      <c r="N69" s="8" t="s">
        <v>90</v>
      </c>
      <c r="O69" s="8"/>
      <c r="P69" s="8" t="s">
        <v>1</v>
      </c>
      <c r="Q69" s="7" t="s">
        <v>1</v>
      </c>
      <c r="R69" s="7" t="s">
        <v>1</v>
      </c>
      <c r="S69" s="7" t="s">
        <v>1</v>
      </c>
      <c r="T69" s="7" t="s">
        <v>1</v>
      </c>
      <c r="U69" s="7" t="s">
        <v>1</v>
      </c>
      <c r="V69" s="7" t="s">
        <v>1</v>
      </c>
      <c r="W69" s="7" t="s">
        <v>1</v>
      </c>
      <c r="X69" s="7" t="s">
        <v>1</v>
      </c>
      <c r="Y69" s="7" t="s">
        <v>1</v>
      </c>
      <c r="Z69" s="7" t="s">
        <v>1</v>
      </c>
      <c r="AA69" s="7" t="s">
        <v>1</v>
      </c>
      <c r="AB69" s="7" t="s">
        <v>3</v>
      </c>
      <c r="AC69" s="7" t="s">
        <v>3</v>
      </c>
      <c r="AD69" s="7" t="s">
        <v>3</v>
      </c>
      <c r="AE69" s="7" t="s">
        <v>3</v>
      </c>
      <c r="AF69" s="7" t="s">
        <v>3</v>
      </c>
      <c r="AG69" s="7" t="s">
        <v>3</v>
      </c>
      <c r="AH69" s="7" t="s">
        <v>3</v>
      </c>
      <c r="AI69" s="7" t="s">
        <v>3</v>
      </c>
      <c r="AJ69" s="7" t="s">
        <v>3</v>
      </c>
      <c r="AK69" s="7" t="s">
        <v>4</v>
      </c>
      <c r="AL69" s="7" t="s">
        <v>4</v>
      </c>
      <c r="AM69" s="7" t="s">
        <v>4</v>
      </c>
      <c r="AN69" s="7" t="s">
        <v>4</v>
      </c>
      <c r="AO69" s="7" t="s">
        <v>4</v>
      </c>
      <c r="AP69" s="7" t="s">
        <v>4</v>
      </c>
      <c r="AQ69" s="7" t="s">
        <v>4</v>
      </c>
      <c r="AR69" s="7" t="s">
        <v>4</v>
      </c>
      <c r="AS69" s="7" t="s">
        <v>4</v>
      </c>
      <c r="AT69" s="7" t="s">
        <v>4</v>
      </c>
      <c r="AU69" s="7" t="s">
        <v>4</v>
      </c>
    </row>
    <row r="70" spans="1:47" x14ac:dyDescent="0.2">
      <c r="A70" t="s">
        <v>39</v>
      </c>
      <c r="B70" t="s">
        <v>160</v>
      </c>
      <c r="C70" t="s">
        <v>91</v>
      </c>
      <c r="D70">
        <v>-1.4552318098717701E-2</v>
      </c>
      <c r="E70">
        <v>-0.64617537354919297</v>
      </c>
      <c r="F70">
        <v>1.8872221308898401E-2</v>
      </c>
      <c r="G70">
        <v>-1.3047533816891299</v>
      </c>
      <c r="H70">
        <v>0.75447725192276405</v>
      </c>
      <c r="I70">
        <v>0.39472344379223001</v>
      </c>
      <c r="J70">
        <v>0.91523517268259502</v>
      </c>
      <c r="K70">
        <v>-1.67910095912903</v>
      </c>
      <c r="L70">
        <v>-0.50098670622073804</v>
      </c>
      <c r="M70">
        <v>-0.62676609308248599</v>
      </c>
      <c r="N70">
        <v>-2.73238425509799</v>
      </c>
      <c r="P70">
        <v>-0.56121572130293496</v>
      </c>
      <c r="Q70">
        <v>-0.42245497579007002</v>
      </c>
      <c r="R70">
        <v>0.19579777703512499</v>
      </c>
      <c r="S70">
        <v>-6.2546550514980495E-2</v>
      </c>
      <c r="T70">
        <v>-0.55772439896762005</v>
      </c>
      <c r="U70">
        <v>-1.9283008680492599</v>
      </c>
      <c r="V70">
        <v>0.399662188932283</v>
      </c>
      <c r="W70">
        <v>0.65426088830055695</v>
      </c>
      <c r="X70">
        <v>-1.0382181951718901</v>
      </c>
      <c r="Y70">
        <v>-0.22597187422182299</v>
      </c>
      <c r="Z70">
        <v>1.1141902601845699</v>
      </c>
      <c r="AA70">
        <v>-0.134643256072462</v>
      </c>
      <c r="AB70">
        <v>0.61617174220912196</v>
      </c>
      <c r="AC70">
        <v>-0.48782908538418202</v>
      </c>
      <c r="AD70">
        <v>0.59784908429542705</v>
      </c>
      <c r="AE70">
        <v>0.64955275554487402</v>
      </c>
      <c r="AF70">
        <v>3.3148769921200201E-2</v>
      </c>
      <c r="AG70">
        <v>1.5390382040481301</v>
      </c>
      <c r="AH70">
        <v>1.81394581103436</v>
      </c>
      <c r="AI70">
        <v>-5.2109259179474898E-2</v>
      </c>
      <c r="AJ70">
        <v>1.17560677247983</v>
      </c>
      <c r="AK70">
        <v>1.3452590294022</v>
      </c>
      <c r="AL70">
        <v>0.67224027916581897</v>
      </c>
      <c r="AM70">
        <v>1.6581106223642901</v>
      </c>
      <c r="AN70">
        <v>0.38788067891309302</v>
      </c>
      <c r="AO70">
        <v>-2.7959125144226</v>
      </c>
      <c r="AP70">
        <v>0.86949050829020502</v>
      </c>
      <c r="AQ70">
        <v>-1.6018963109044799</v>
      </c>
      <c r="AR70">
        <v>0.26594679570192697</v>
      </c>
      <c r="AS70">
        <v>0.57487948738434802</v>
      </c>
      <c r="AT70">
        <v>0.43017039285483799</v>
      </c>
      <c r="AU70">
        <v>0.297031959080373</v>
      </c>
    </row>
    <row r="71" spans="1:47" x14ac:dyDescent="0.2">
      <c r="A71" t="s">
        <v>38</v>
      </c>
      <c r="B71" t="s">
        <v>160</v>
      </c>
      <c r="C71" t="s">
        <v>8</v>
      </c>
      <c r="D71">
        <v>-0.576084892714541</v>
      </c>
      <c r="E71">
        <v>-0.255571071960288</v>
      </c>
      <c r="F71">
        <v>-6.3261988413914602E-2</v>
      </c>
      <c r="G71">
        <v>-1.1475909780228599</v>
      </c>
      <c r="H71">
        <v>0.25222361880528699</v>
      </c>
      <c r="I71">
        <v>0.70565222860610299</v>
      </c>
      <c r="J71">
        <v>0.26691596470451801</v>
      </c>
      <c r="K71">
        <v>-2.21187554246869</v>
      </c>
      <c r="L71">
        <v>-0.43219811233968902</v>
      </c>
      <c r="M71">
        <v>0.49132807566872</v>
      </c>
      <c r="N71">
        <v>-2.1116322874696101</v>
      </c>
      <c r="P71">
        <v>-1.4841575210111799</v>
      </c>
      <c r="Q71">
        <v>-0.63189535774797101</v>
      </c>
      <c r="R71">
        <v>0.12193731400015199</v>
      </c>
      <c r="S71">
        <v>0.100196484463162</v>
      </c>
      <c r="T71">
        <v>0.81558683722455505</v>
      </c>
      <c r="U71">
        <v>-2.5096581443688901</v>
      </c>
      <c r="V71">
        <v>-0.23627081342553999</v>
      </c>
      <c r="W71">
        <v>0.46201931411633002</v>
      </c>
      <c r="X71">
        <v>-0.57593109320495395</v>
      </c>
      <c r="Y71">
        <v>-0.23278670865898299</v>
      </c>
      <c r="Z71">
        <v>0.60444359582392404</v>
      </c>
      <c r="AA71">
        <v>0.366028902290992</v>
      </c>
      <c r="AB71">
        <v>0.110178628469187</v>
      </c>
      <c r="AC71">
        <v>-0.36930720783381799</v>
      </c>
      <c r="AD71">
        <v>0.26913067191390599</v>
      </c>
      <c r="AE71">
        <v>0.20602925070928599</v>
      </c>
      <c r="AF71">
        <v>-0.172207082199344</v>
      </c>
      <c r="AG71">
        <v>1.1864644872557299</v>
      </c>
      <c r="AH71">
        <v>0.98557652510756899</v>
      </c>
      <c r="AI71">
        <v>-0.132175589304662</v>
      </c>
      <c r="AJ71">
        <v>2.3352226876308699</v>
      </c>
      <c r="AK71">
        <v>0.72043084332167295</v>
      </c>
      <c r="AL71">
        <v>1.11923816700912</v>
      </c>
      <c r="AM71">
        <v>1.30962880758973</v>
      </c>
      <c r="AN71">
        <v>0.12671240626836999</v>
      </c>
      <c r="AO71">
        <v>-1.5157113522921699</v>
      </c>
      <c r="AP71">
        <v>1.07633804672103</v>
      </c>
      <c r="AQ71">
        <v>-6.5492661511309599E-2</v>
      </c>
      <c r="AR71">
        <v>-0.166207177563331</v>
      </c>
      <c r="AS71">
        <v>0.62777308852785296</v>
      </c>
      <c r="AT71">
        <v>2.99052056189624E-3</v>
      </c>
      <c r="AU71">
        <v>0.62796911572180503</v>
      </c>
    </row>
    <row r="72" spans="1:47" x14ac:dyDescent="0.2">
      <c r="A72" t="s">
        <v>38</v>
      </c>
      <c r="B72" t="s">
        <v>160</v>
      </c>
      <c r="C72" t="s">
        <v>92</v>
      </c>
      <c r="D72">
        <v>0.91786436852864495</v>
      </c>
      <c r="E72">
        <v>0.61001956171284499</v>
      </c>
      <c r="F72">
        <v>1.3758706795028799</v>
      </c>
      <c r="G72">
        <v>0.62164019168395201</v>
      </c>
      <c r="H72">
        <v>1.1602414171176001</v>
      </c>
      <c r="I72">
        <v>1.17585026944963</v>
      </c>
      <c r="J72">
        <v>1.07867452299097</v>
      </c>
      <c r="K72">
        <v>0.97467836096754301</v>
      </c>
      <c r="L72">
        <v>1.03661803178644</v>
      </c>
      <c r="M72">
        <v>0.96431931092597001</v>
      </c>
      <c r="N72">
        <v>0.44228019051530998</v>
      </c>
      <c r="P72">
        <v>0.72194400408802295</v>
      </c>
      <c r="Q72">
        <v>0.56989026579575297</v>
      </c>
      <c r="R72">
        <v>0.89799804770819203</v>
      </c>
      <c r="S72">
        <v>0.76915795972332501</v>
      </c>
      <c r="T72">
        <v>0.78341375000660596</v>
      </c>
      <c r="U72">
        <v>-9.9391153556661092</v>
      </c>
      <c r="V72">
        <v>0.21400397374909999</v>
      </c>
      <c r="W72">
        <v>-7.8079068492995396E-2</v>
      </c>
      <c r="X72">
        <v>-4.8378988913193199E-2</v>
      </c>
      <c r="Y72">
        <v>-8.5309266671090705E-2</v>
      </c>
      <c r="Z72">
        <v>0.72424196107484995</v>
      </c>
      <c r="AA72">
        <v>0.69861400129330498</v>
      </c>
      <c r="AB72">
        <v>0.422116695631161</v>
      </c>
      <c r="AC72">
        <v>0.19132323397655199</v>
      </c>
      <c r="AD72">
        <v>-9.8938333618643206</v>
      </c>
      <c r="AE72">
        <v>0.48875985556354401</v>
      </c>
      <c r="AF72">
        <v>0.27798763880167998</v>
      </c>
      <c r="AG72">
        <v>1.0930171039019201</v>
      </c>
      <c r="AH72">
        <v>1.0534178189493599</v>
      </c>
      <c r="AI72">
        <v>0.32492230704198199</v>
      </c>
      <c r="AJ72">
        <v>1.9156972307207201</v>
      </c>
      <c r="AK72">
        <v>1.4168967246789199</v>
      </c>
      <c r="AL72">
        <v>1.6065884920259601</v>
      </c>
      <c r="AM72">
        <v>1.2565495712174499</v>
      </c>
      <c r="AN72">
        <v>1.04223207500389</v>
      </c>
      <c r="AO72">
        <v>0.62868473303254002</v>
      </c>
      <c r="AP72">
        <v>-0.66549612895771704</v>
      </c>
      <c r="AQ72">
        <v>-9.7082627490616993</v>
      </c>
      <c r="AR72">
        <v>0.71766020338686298</v>
      </c>
      <c r="AS72">
        <v>0.55690098266033194</v>
      </c>
      <c r="AT72">
        <v>0.70133930018530699</v>
      </c>
      <c r="AU72">
        <v>0.98706008422800995</v>
      </c>
    </row>
    <row r="73" spans="1:47" x14ac:dyDescent="0.2">
      <c r="A73" t="s">
        <v>38</v>
      </c>
      <c r="B73" t="s">
        <v>160</v>
      </c>
      <c r="C73" t="s">
        <v>93</v>
      </c>
      <c r="D73">
        <v>-1.1256919341953</v>
      </c>
      <c r="E73">
        <v>-0.82518625208837504</v>
      </c>
      <c r="F73">
        <v>-0.39037949507411901</v>
      </c>
      <c r="G73">
        <v>-1.55947118189745</v>
      </c>
      <c r="H73">
        <v>0.15624110908924599</v>
      </c>
      <c r="I73">
        <v>0.441617776596893</v>
      </c>
      <c r="J73">
        <v>0.12756257061996101</v>
      </c>
      <c r="K73">
        <v>-2.0095754209723902</v>
      </c>
      <c r="L73">
        <v>-0.49663925181170099</v>
      </c>
      <c r="M73">
        <v>0.40017779843030798</v>
      </c>
      <c r="N73">
        <v>-2.1308780988785201</v>
      </c>
      <c r="P73">
        <v>-0.898549166291434</v>
      </c>
      <c r="Q73">
        <v>-8.6232286231422997E-2</v>
      </c>
      <c r="R73">
        <v>0.56617959321753097</v>
      </c>
      <c r="S73">
        <v>-0.17951614122484899</v>
      </c>
      <c r="T73">
        <v>0.16454270340938701</v>
      </c>
      <c r="U73">
        <v>-1.44764215960912</v>
      </c>
      <c r="V73">
        <v>-0.31979371861782402</v>
      </c>
      <c r="W73">
        <v>0.89154964719859298</v>
      </c>
      <c r="X73">
        <v>-0.69291772978358102</v>
      </c>
      <c r="Y73">
        <v>-0.42071848753615099</v>
      </c>
      <c r="Z73">
        <v>1.0060066018187701</v>
      </c>
      <c r="AA73">
        <v>0.300671752204069</v>
      </c>
      <c r="AB73">
        <v>-0.16072968521000999</v>
      </c>
      <c r="AC73">
        <v>-0.59970837433311597</v>
      </c>
      <c r="AD73">
        <v>0.94883804476129097</v>
      </c>
      <c r="AE73">
        <v>1.0915244051119299</v>
      </c>
      <c r="AF73">
        <v>0.152016062847984</v>
      </c>
      <c r="AG73">
        <v>1.62344007608452</v>
      </c>
      <c r="AH73">
        <v>1.2900263080791701</v>
      </c>
      <c r="AI73">
        <v>0.371164365719233</v>
      </c>
      <c r="AJ73">
        <v>0.39975643031529101</v>
      </c>
      <c r="AK73">
        <v>0.39554729090777102</v>
      </c>
      <c r="AL73">
        <v>1.0402571402216501</v>
      </c>
      <c r="AM73">
        <v>1.0503877763194001</v>
      </c>
      <c r="AN73">
        <v>-0.283852747114334</v>
      </c>
      <c r="AO73">
        <v>-1.94594697055043</v>
      </c>
      <c r="AP73">
        <v>1.5322919058411999</v>
      </c>
      <c r="AQ73">
        <v>0.217058663071279</v>
      </c>
      <c r="AR73">
        <v>-0.83180897007717702</v>
      </c>
      <c r="AS73">
        <v>0.77410685712784699</v>
      </c>
      <c r="AT73">
        <v>0.52984310508285304</v>
      </c>
      <c r="AU73">
        <v>0.93443008742111799</v>
      </c>
    </row>
    <row r="74" spans="1:47" x14ac:dyDescent="0.2">
      <c r="A74" t="s">
        <v>38</v>
      </c>
      <c r="B74" t="s">
        <v>160</v>
      </c>
      <c r="C74" t="s">
        <v>94</v>
      </c>
      <c r="D74">
        <v>-1.6148311212805999</v>
      </c>
      <c r="E74">
        <v>-0.70774066111831202</v>
      </c>
      <c r="F74">
        <v>-0.22806906110883601</v>
      </c>
      <c r="G74">
        <v>-1.99806573986548</v>
      </c>
      <c r="H74">
        <v>-0.42733715967733898</v>
      </c>
      <c r="I74">
        <v>0.46469445343618099</v>
      </c>
      <c r="J74">
        <v>-0.48574605839857699</v>
      </c>
      <c r="K74">
        <v>-1.51460491646408</v>
      </c>
      <c r="L74">
        <v>-0.166200910387131</v>
      </c>
      <c r="M74">
        <v>-0.132046235324387</v>
      </c>
      <c r="N74">
        <v>-2.3868870189265898</v>
      </c>
      <c r="P74">
        <v>-0.14848810397221701</v>
      </c>
      <c r="Q74">
        <v>0.27767774715788301</v>
      </c>
      <c r="R74">
        <v>0.27289105609785902</v>
      </c>
      <c r="S74">
        <v>-0.21200641759862099</v>
      </c>
      <c r="T74">
        <v>-0.88635884289063904</v>
      </c>
      <c r="U74">
        <v>-0.495627327533742</v>
      </c>
      <c r="V74">
        <v>0.70145187613348403</v>
      </c>
      <c r="W74">
        <v>1.1068013408525901</v>
      </c>
      <c r="X74">
        <v>0.30730316464600399</v>
      </c>
      <c r="Y74">
        <v>-0.47864383586172898</v>
      </c>
      <c r="Z74">
        <v>1.45864542059986</v>
      </c>
      <c r="AA74">
        <v>0.83551888127211804</v>
      </c>
      <c r="AB74">
        <v>0.35493280261112697</v>
      </c>
      <c r="AC74">
        <v>0.24499130800766999</v>
      </c>
      <c r="AD74">
        <v>0.75688049955133896</v>
      </c>
      <c r="AE74">
        <v>0.98759950398110796</v>
      </c>
      <c r="AF74">
        <v>0.61573011161652902</v>
      </c>
      <c r="AG74">
        <v>1.9197885017996199</v>
      </c>
      <c r="AH74">
        <v>1.65386475214513</v>
      </c>
      <c r="AI74">
        <v>0.81933233825472596</v>
      </c>
      <c r="AJ74">
        <v>-3.6676250347437503E-2</v>
      </c>
      <c r="AK74">
        <v>0.20274668613011701</v>
      </c>
      <c r="AL74">
        <v>0.43675828571890601</v>
      </c>
      <c r="AM74">
        <v>0.38564534905292502</v>
      </c>
      <c r="AN74">
        <v>-0.41726367608424803</v>
      </c>
      <c r="AO74">
        <v>-2.5735039722783601</v>
      </c>
      <c r="AP74">
        <v>1.38472354251047</v>
      </c>
      <c r="AQ74">
        <v>5.2585425772605998E-2</v>
      </c>
      <c r="AR74">
        <v>-1.0211356981359201</v>
      </c>
      <c r="AS74">
        <v>0.40881528660604</v>
      </c>
      <c r="AT74">
        <v>0.42226680529579502</v>
      </c>
      <c r="AU74">
        <v>-0.140412131995859</v>
      </c>
    </row>
    <row r="75" spans="1:47" x14ac:dyDescent="0.2">
      <c r="A75" t="s">
        <v>39</v>
      </c>
      <c r="B75" t="s">
        <v>159</v>
      </c>
      <c r="C75" t="s">
        <v>95</v>
      </c>
      <c r="D75">
        <v>-1.17618473977307</v>
      </c>
      <c r="E75">
        <v>-1.06603056140087</v>
      </c>
      <c r="F75">
        <v>-0.76427600466800705</v>
      </c>
      <c r="G75">
        <v>-1.22599233271132</v>
      </c>
      <c r="H75">
        <v>-0.10473431188143199</v>
      </c>
      <c r="I75">
        <v>0.75780102576877595</v>
      </c>
      <c r="J75">
        <v>4.3660211294488702E-2</v>
      </c>
      <c r="K75">
        <v>-2.1423704458527801</v>
      </c>
      <c r="L75">
        <v>-0.97638626477674195</v>
      </c>
      <c r="M75">
        <v>2.3469668088277902</v>
      </c>
      <c r="N75">
        <v>-1.4379679149158899</v>
      </c>
      <c r="P75">
        <v>-0.99864109469806905</v>
      </c>
      <c r="Q75">
        <v>0.52789136292996497</v>
      </c>
      <c r="R75">
        <v>0.69505526639562698</v>
      </c>
      <c r="S75">
        <v>-0.37310159183192099</v>
      </c>
      <c r="T75">
        <v>2.4406778987486799</v>
      </c>
      <c r="U75">
        <v>-1.9879644229776099</v>
      </c>
      <c r="V75">
        <v>-0.54616326772675305</v>
      </c>
      <c r="W75">
        <v>0.27171676746419998</v>
      </c>
      <c r="X75">
        <v>-1.5811917261320101</v>
      </c>
      <c r="Y75">
        <v>-0.64907961260166602</v>
      </c>
      <c r="Z75">
        <v>0.74022033320371805</v>
      </c>
      <c r="AA75">
        <v>0.19746597947331301</v>
      </c>
      <c r="AB75">
        <v>-0.527799572605399</v>
      </c>
      <c r="AC75">
        <v>-1.4851379282025099</v>
      </c>
      <c r="AD75">
        <v>1.46209339129705</v>
      </c>
      <c r="AE75">
        <v>1.8818047843201799</v>
      </c>
      <c r="AF75">
        <v>0.13271180439521901</v>
      </c>
      <c r="AG75">
        <v>1.24249419025583</v>
      </c>
      <c r="AH75">
        <v>0.83402209226347801</v>
      </c>
      <c r="AI75">
        <v>-8.57861755831427E-3</v>
      </c>
      <c r="AJ75">
        <v>-9.0187239971487199E-2</v>
      </c>
      <c r="AK75">
        <v>0.16657633773323299</v>
      </c>
      <c r="AL75">
        <v>1.4647055035847301</v>
      </c>
      <c r="AM75">
        <v>0.56485849989229298</v>
      </c>
      <c r="AN75">
        <v>-1.10127216394925</v>
      </c>
      <c r="AO75">
        <v>-1.7269491385306699</v>
      </c>
      <c r="AP75">
        <v>1.8847128514865501</v>
      </c>
      <c r="AQ75">
        <v>-1.6891731841195301E-2</v>
      </c>
      <c r="AR75">
        <v>-0.54604281068197902</v>
      </c>
      <c r="AS75">
        <v>0.85189635808791897</v>
      </c>
      <c r="AT75">
        <v>-4.35947233148141E-2</v>
      </c>
      <c r="AU75">
        <v>2.0692067511807202</v>
      </c>
    </row>
    <row r="76" spans="1:47" x14ac:dyDescent="0.2">
      <c r="A76" t="s">
        <v>39</v>
      </c>
      <c r="B76" t="s">
        <v>159</v>
      </c>
      <c r="C76" t="s">
        <v>9</v>
      </c>
      <c r="D76">
        <v>0.60625378457878998</v>
      </c>
      <c r="E76">
        <v>0.13429793069399601</v>
      </c>
      <c r="F76">
        <v>0.89972592087376002</v>
      </c>
      <c r="G76">
        <v>-0.20816663371375099</v>
      </c>
      <c r="H76">
        <v>0.37820469698948</v>
      </c>
      <c r="I76">
        <v>1.2164793889032901</v>
      </c>
      <c r="J76">
        <v>1.03464700700668</v>
      </c>
      <c r="K76">
        <v>0.17977879184721199</v>
      </c>
      <c r="L76">
        <v>0.32801178592184999</v>
      </c>
      <c r="M76">
        <v>2.4866422616270198</v>
      </c>
      <c r="N76">
        <v>-0.53436967888860798</v>
      </c>
      <c r="P76">
        <v>-0.46533925581471502</v>
      </c>
      <c r="Q76">
        <v>-9.8992251482150906E-2</v>
      </c>
      <c r="R76">
        <v>0.53188977340509802</v>
      </c>
      <c r="S76">
        <v>1.23241876359243</v>
      </c>
      <c r="T76">
        <v>2.2761843415786198</v>
      </c>
      <c r="U76">
        <v>-4.1628559376640402</v>
      </c>
      <c r="V76">
        <v>-0.93150316934268695</v>
      </c>
      <c r="W76">
        <v>-2.2027948845518099</v>
      </c>
      <c r="X76">
        <v>0.29062847628597699</v>
      </c>
      <c r="Y76">
        <v>-2.07604370729559</v>
      </c>
      <c r="Z76">
        <v>0.15992389589645001</v>
      </c>
      <c r="AA76">
        <v>0.22477950110467601</v>
      </c>
      <c r="AB76">
        <v>-3.1008579376730099</v>
      </c>
      <c r="AC76">
        <v>-4.1523862189163898</v>
      </c>
      <c r="AD76">
        <v>-1.6058424288134301</v>
      </c>
      <c r="AE76">
        <v>-0.480929331046832</v>
      </c>
      <c r="AF76">
        <v>-3.8670668590966302</v>
      </c>
      <c r="AG76">
        <v>0.97581299039598202</v>
      </c>
      <c r="AH76">
        <v>-2.41658209034131</v>
      </c>
      <c r="AI76">
        <v>-0.85753428238699403</v>
      </c>
      <c r="AJ76">
        <v>2.4952627215982202</v>
      </c>
      <c r="AK76">
        <v>1.63264307644578</v>
      </c>
      <c r="AL76">
        <v>1.68767166710364</v>
      </c>
      <c r="AM76">
        <v>0.87488446410453902</v>
      </c>
      <c r="AN76">
        <v>0.48222107143898002</v>
      </c>
      <c r="AO76">
        <v>0.23582249788430101</v>
      </c>
      <c r="AP76">
        <v>1.4803875772239099</v>
      </c>
      <c r="AQ76">
        <v>0.54627769110413804</v>
      </c>
      <c r="AR76">
        <v>0.46563901987954998</v>
      </c>
      <c r="AS76">
        <v>1.0878474190476499</v>
      </c>
      <c r="AT76">
        <v>1.38134754890142</v>
      </c>
      <c r="AU76">
        <v>1.83558060159451</v>
      </c>
    </row>
    <row r="77" spans="1:47" x14ac:dyDescent="0.2">
      <c r="A77" t="s">
        <v>39</v>
      </c>
      <c r="B77" t="s">
        <v>159</v>
      </c>
      <c r="C77" t="s">
        <v>15</v>
      </c>
      <c r="D77">
        <v>-1.4194051026980401</v>
      </c>
      <c r="E77">
        <v>-2.2376200902878902</v>
      </c>
      <c r="F77">
        <v>-0.56241765067447302</v>
      </c>
      <c r="G77">
        <v>-2.1760997667358399</v>
      </c>
      <c r="H77">
        <v>-0.12894661226170501</v>
      </c>
      <c r="I77">
        <v>0.53746069692899501</v>
      </c>
      <c r="J77">
        <v>0.76184096813622404</v>
      </c>
      <c r="K77">
        <v>-1.3620960510051701</v>
      </c>
      <c r="L77">
        <v>-1.25342683582248</v>
      </c>
      <c r="M77">
        <v>2.4335939467628198</v>
      </c>
      <c r="N77">
        <v>-2.2458039465883299</v>
      </c>
      <c r="P77">
        <v>-0.67201497175770497</v>
      </c>
      <c r="Q77">
        <v>0.77395787397286997</v>
      </c>
      <c r="R77">
        <v>0.49054725663854898</v>
      </c>
      <c r="S77">
        <v>-0.26860706407566098</v>
      </c>
      <c r="T77">
        <v>2.4189938945830498</v>
      </c>
      <c r="U77">
        <v>-1.43111440096406</v>
      </c>
      <c r="V77">
        <v>3.7010086451525197E-2</v>
      </c>
      <c r="W77">
        <v>0.54133424138116304</v>
      </c>
      <c r="X77">
        <v>-1.63756638171849</v>
      </c>
      <c r="Y77">
        <v>-0.75495065332806099</v>
      </c>
      <c r="Z77">
        <v>1.1120773596503</v>
      </c>
      <c r="AA77">
        <v>0.42972806609644598</v>
      </c>
      <c r="AB77">
        <v>-0.19454167014846199</v>
      </c>
      <c r="AC77">
        <v>-1.1793906586929299</v>
      </c>
      <c r="AD77">
        <v>1.1950209952174899</v>
      </c>
      <c r="AE77">
        <v>1.7122903829854199</v>
      </c>
      <c r="AF77">
        <v>0.56557629466445203</v>
      </c>
      <c r="AG77">
        <v>1.1113618060732799</v>
      </c>
      <c r="AH77">
        <v>1.04288084521585</v>
      </c>
      <c r="AI77">
        <v>5.0514247369054001E-2</v>
      </c>
      <c r="AJ77">
        <v>1.5448306153196001</v>
      </c>
      <c r="AK77">
        <v>0.159475084528794</v>
      </c>
      <c r="AL77">
        <v>0.70292536108743997</v>
      </c>
      <c r="AM77">
        <v>0.53637503388401397</v>
      </c>
      <c r="AN77">
        <v>-1.3575384878074099</v>
      </c>
      <c r="AO77">
        <v>-1.7644882926386301</v>
      </c>
      <c r="AP77">
        <v>1.05351617533602</v>
      </c>
      <c r="AQ77">
        <v>-0.86758102331720199</v>
      </c>
      <c r="AR77">
        <v>-0.51119768613721805</v>
      </c>
      <c r="AS77">
        <v>0.74694525142980694</v>
      </c>
      <c r="AT77">
        <v>0.34642041174367699</v>
      </c>
      <c r="AU77">
        <v>1.7201304512029201</v>
      </c>
    </row>
    <row r="78" spans="1:47" x14ac:dyDescent="0.2">
      <c r="A78" t="s">
        <v>38</v>
      </c>
      <c r="B78" t="s">
        <v>159</v>
      </c>
      <c r="C78" t="s">
        <v>96</v>
      </c>
      <c r="D78">
        <v>-0.85305212952979004</v>
      </c>
      <c r="E78">
        <v>-1.79245163594387</v>
      </c>
      <c r="F78">
        <v>0.60011793906247701</v>
      </c>
      <c r="G78">
        <v>-0.93841691614121203</v>
      </c>
      <c r="H78">
        <v>0.745551655175133</v>
      </c>
      <c r="I78">
        <v>1.5734658637925001</v>
      </c>
      <c r="J78">
        <v>1.1793816543125499</v>
      </c>
      <c r="K78">
        <v>6.7270889900855099E-2</v>
      </c>
      <c r="L78">
        <v>-0.40384194236238902</v>
      </c>
      <c r="M78">
        <v>3.1689546341497499</v>
      </c>
      <c r="N78">
        <v>-0.81742424066297203</v>
      </c>
      <c r="P78">
        <v>-0.18330206172775601</v>
      </c>
      <c r="Q78">
        <v>0.68017464422686302</v>
      </c>
      <c r="R78">
        <v>0.588092791033344</v>
      </c>
      <c r="S78">
        <v>-0.111025190735992</v>
      </c>
      <c r="T78">
        <v>2.9043478412873802</v>
      </c>
      <c r="U78">
        <v>-3.4577174246687798</v>
      </c>
      <c r="V78">
        <v>-1.15286795769892</v>
      </c>
      <c r="W78">
        <v>-0.84538838340693201</v>
      </c>
      <c r="X78">
        <v>-2.3497526255996699</v>
      </c>
      <c r="Y78">
        <v>-1.81403192747507</v>
      </c>
      <c r="Z78">
        <v>0.73986134672797499</v>
      </c>
      <c r="AA78">
        <v>0.68367399178713895</v>
      </c>
      <c r="AB78">
        <v>-0.62921044534512505</v>
      </c>
      <c r="AC78">
        <v>-1.8090745393538801</v>
      </c>
      <c r="AD78">
        <v>-1.3758932228857701</v>
      </c>
      <c r="AE78">
        <v>0.95160673646875105</v>
      </c>
      <c r="AF78">
        <v>-0.55909664929787894</v>
      </c>
      <c r="AG78">
        <v>0.84906253952922495</v>
      </c>
      <c r="AH78">
        <v>0.630398185512002</v>
      </c>
      <c r="AI78">
        <v>-0.82060259997275098</v>
      </c>
      <c r="AJ78">
        <v>3.00539651197629</v>
      </c>
      <c r="AK78">
        <v>1.02912438200108</v>
      </c>
      <c r="AL78">
        <v>2.3572054451733999</v>
      </c>
      <c r="AM78">
        <v>0.76091350289540505</v>
      </c>
      <c r="AN78">
        <v>-0.59791192146113004</v>
      </c>
      <c r="AO78">
        <v>-0.67537886540158598</v>
      </c>
      <c r="AP78">
        <v>-0.69653415697602095</v>
      </c>
      <c r="AQ78">
        <v>-3.1829526770296002</v>
      </c>
      <c r="AR78">
        <v>-0.242263465180242</v>
      </c>
      <c r="AS78">
        <v>0.28743478310897502</v>
      </c>
      <c r="AT78">
        <v>0.183687124156971</v>
      </c>
      <c r="AU78">
        <v>2.32246851657928</v>
      </c>
    </row>
    <row r="79" spans="1:47" x14ac:dyDescent="0.2">
      <c r="A79" t="s">
        <v>38</v>
      </c>
      <c r="B79" t="s">
        <v>159</v>
      </c>
      <c r="C79" t="s">
        <v>97</v>
      </c>
      <c r="D79">
        <v>-2.13103937416057</v>
      </c>
      <c r="E79">
        <v>-2.6084208960116801</v>
      </c>
      <c r="F79">
        <v>-0.62760385529106599</v>
      </c>
      <c r="G79">
        <v>-2.5150340436728298</v>
      </c>
      <c r="H79">
        <v>-0.570635978961331</v>
      </c>
      <c r="I79">
        <v>1.2421050303775201</v>
      </c>
      <c r="J79">
        <v>0.28228090656138399</v>
      </c>
      <c r="K79">
        <v>-1.3859931155885299</v>
      </c>
      <c r="L79">
        <v>-1.46055787686702</v>
      </c>
      <c r="M79">
        <v>2.9890083164944801</v>
      </c>
      <c r="N79">
        <v>-1.8033662190870301</v>
      </c>
      <c r="P79">
        <v>-0.81988854704524095</v>
      </c>
      <c r="Q79">
        <v>1.29221748142417</v>
      </c>
      <c r="R79">
        <v>0.63627534241169903</v>
      </c>
      <c r="S79">
        <v>-0.54071381625222203</v>
      </c>
      <c r="T79">
        <v>2.6740434750735398</v>
      </c>
      <c r="U79">
        <v>-1.25020490835717</v>
      </c>
      <c r="V79">
        <v>0.16504291695099901</v>
      </c>
      <c r="W79">
        <v>0.56875767192029103</v>
      </c>
      <c r="X79">
        <v>-1.62075697478467</v>
      </c>
      <c r="Y79">
        <v>-1.4449587515951501</v>
      </c>
      <c r="Z79">
        <v>1.48692173010994</v>
      </c>
      <c r="AA79">
        <v>1.22340218751207</v>
      </c>
      <c r="AB79">
        <v>-0.34472442464344899</v>
      </c>
      <c r="AC79">
        <v>-1.6588721792424399</v>
      </c>
      <c r="AD79">
        <v>1.84137555409369</v>
      </c>
      <c r="AE79">
        <v>2.1365495900854801</v>
      </c>
      <c r="AF79">
        <v>0.88766644149471796</v>
      </c>
      <c r="AG79">
        <v>1.2173403983128199</v>
      </c>
      <c r="AH79">
        <v>1.0677793503050801</v>
      </c>
      <c r="AI79">
        <v>0.284515809979419</v>
      </c>
      <c r="AJ79">
        <v>0.75780441610017402</v>
      </c>
      <c r="AK79">
        <v>-0.39520885528850402</v>
      </c>
      <c r="AL79">
        <v>1.4462728448517299</v>
      </c>
      <c r="AM79">
        <v>-0.212921251723618</v>
      </c>
      <c r="AN79">
        <v>-2.1927511644769599</v>
      </c>
      <c r="AO79">
        <v>-2.3968926220978699</v>
      </c>
      <c r="AP79">
        <v>1.8797486087051101</v>
      </c>
      <c r="AQ79">
        <v>2.24271379792098E-2</v>
      </c>
      <c r="AR79">
        <v>-1.32178068045039</v>
      </c>
      <c r="AS79">
        <v>0.75705379482346402</v>
      </c>
      <c r="AT79">
        <v>0.39554583045493602</v>
      </c>
      <c r="AU79">
        <v>2.0481906995758101</v>
      </c>
    </row>
    <row r="80" spans="1:47" x14ac:dyDescent="0.2">
      <c r="A80" t="s">
        <v>38</v>
      </c>
      <c r="B80" t="s">
        <v>159</v>
      </c>
      <c r="C80" t="s">
        <v>12</v>
      </c>
      <c r="D80">
        <v>-1.27521596466431</v>
      </c>
      <c r="E80">
        <v>-1.2353754252423801</v>
      </c>
      <c r="F80">
        <v>-0.88900404818650902</v>
      </c>
      <c r="G80">
        <v>-1.4332231234605799</v>
      </c>
      <c r="H80">
        <v>-0.11393419609627101</v>
      </c>
      <c r="I80">
        <v>0.91009918660542599</v>
      </c>
      <c r="J80">
        <v>0.41426198375134898</v>
      </c>
      <c r="K80">
        <v>-1.99638157949991</v>
      </c>
      <c r="L80">
        <v>-0.90429008329272098</v>
      </c>
      <c r="M80">
        <v>2.0438822293013801</v>
      </c>
      <c r="N80">
        <v>-1.70616555188199</v>
      </c>
      <c r="P80">
        <v>-1.1626938026348199</v>
      </c>
      <c r="Q80">
        <v>0.54717681432152299</v>
      </c>
      <c r="R80">
        <v>0.241394842596065</v>
      </c>
      <c r="S80">
        <v>-0.42751648876294202</v>
      </c>
      <c r="T80">
        <v>1.9811502606068101</v>
      </c>
      <c r="U80">
        <v>-1.66535798785691</v>
      </c>
      <c r="V80">
        <v>-0.31467939960355701</v>
      </c>
      <c r="W80">
        <v>0.48698318568169902</v>
      </c>
      <c r="X80">
        <v>-1.46639069704531</v>
      </c>
      <c r="Y80">
        <v>-0.487534299121401</v>
      </c>
      <c r="Z80">
        <v>0.92411359335063203</v>
      </c>
      <c r="AA80">
        <v>0.58967432240720796</v>
      </c>
      <c r="AB80">
        <v>-0.157591202326823</v>
      </c>
      <c r="AC80">
        <v>-0.98583162505822697</v>
      </c>
      <c r="AD80">
        <v>1.1513512155168899</v>
      </c>
      <c r="AE80">
        <v>1.28827210980288</v>
      </c>
      <c r="AF80">
        <v>3.3165792752150203E-2</v>
      </c>
      <c r="AG80">
        <v>0.91252782793644305</v>
      </c>
      <c r="AH80">
        <v>0.88220419866508903</v>
      </c>
      <c r="AI80">
        <v>-0.17313748010874899</v>
      </c>
      <c r="AJ80">
        <v>0.95572087485905899</v>
      </c>
      <c r="AK80">
        <v>0.12420989024199799</v>
      </c>
      <c r="AL80">
        <v>0.86177883174014702</v>
      </c>
      <c r="AM80">
        <v>0.52605808381619601</v>
      </c>
      <c r="AN80">
        <v>-0.86033469206522795</v>
      </c>
      <c r="AO80">
        <v>-1.5946242908311801</v>
      </c>
      <c r="AP80">
        <v>1.44298894983021</v>
      </c>
      <c r="AQ80">
        <v>1.74605051827768E-3</v>
      </c>
      <c r="AR80">
        <v>-0.45324950410472897</v>
      </c>
      <c r="AS80">
        <v>0.96884990024081297</v>
      </c>
      <c r="AT80">
        <v>0.16130365658608101</v>
      </c>
      <c r="AU80">
        <v>1.8536176407162399</v>
      </c>
    </row>
    <row r="81" spans="3:47" x14ac:dyDescent="0.2">
      <c r="C81" t="s">
        <v>99</v>
      </c>
      <c r="D81">
        <v>8.3775719496056805E-2</v>
      </c>
      <c r="E81">
        <v>1.4469164336401099</v>
      </c>
      <c r="F81">
        <v>1.1068835093031499</v>
      </c>
      <c r="G81">
        <v>0.68305304372003794</v>
      </c>
      <c r="H81">
        <v>0.386310002350574</v>
      </c>
      <c r="I81">
        <v>1.03427656806103</v>
      </c>
      <c r="J81">
        <v>6.5307591035916601E-2</v>
      </c>
      <c r="K81">
        <v>0.27486788180708599</v>
      </c>
      <c r="L81">
        <v>1.73088007433601</v>
      </c>
      <c r="M81">
        <v>0.64365771787489001</v>
      </c>
      <c r="N81">
        <v>1.3437960330626499</v>
      </c>
      <c r="P81">
        <v>-0.26069324196759402</v>
      </c>
      <c r="Q81">
        <v>-1.06058884397094E-2</v>
      </c>
      <c r="R81">
        <v>0.102048414358467</v>
      </c>
      <c r="S81">
        <v>-1.0411601593403601</v>
      </c>
      <c r="T81">
        <v>0.60334257418916504</v>
      </c>
      <c r="U81">
        <v>-1.26670902314692</v>
      </c>
      <c r="V81">
        <v>0.35519648399209502</v>
      </c>
      <c r="W81">
        <v>-0.37662627154674599</v>
      </c>
      <c r="X81">
        <v>-0.50090676759434705</v>
      </c>
      <c r="Y81">
        <v>-1.573520626868</v>
      </c>
      <c r="Z81">
        <v>6.5307591035916601E-2</v>
      </c>
      <c r="AA81">
        <v>-1.3489509258610799</v>
      </c>
      <c r="AB81">
        <v>-0.87338231168024505</v>
      </c>
      <c r="AC81">
        <v>-0.45011623686891</v>
      </c>
      <c r="AD81">
        <v>-0.97208080574161504</v>
      </c>
      <c r="AE81">
        <v>-0.78002154536504298</v>
      </c>
      <c r="AF81">
        <v>-0.87338231168024505</v>
      </c>
      <c r="AG81">
        <v>-0.23841224184861801</v>
      </c>
      <c r="AH81">
        <v>-1.573520626868</v>
      </c>
      <c r="AI81">
        <v>-0.72047241837753395</v>
      </c>
      <c r="AJ81">
        <v>-1.15025455205667</v>
      </c>
      <c r="AK81">
        <v>0.370823319611083</v>
      </c>
      <c r="AL81">
        <v>0.490993783343465</v>
      </c>
      <c r="AM81">
        <v>0.370823319611083</v>
      </c>
      <c r="AN81">
        <v>-1.06058884397094E-2</v>
      </c>
      <c r="AO81">
        <v>0.50544368817676399</v>
      </c>
      <c r="AP81">
        <v>0.30744910407958997</v>
      </c>
      <c r="AQ81">
        <v>-0.306136747554485</v>
      </c>
      <c r="AR81">
        <v>0.32351204364101299</v>
      </c>
      <c r="AS81">
        <v>1.19596218154321</v>
      </c>
      <c r="AT81">
        <v>0.94737755075942698</v>
      </c>
      <c r="AU81">
        <v>-0.110446037782924</v>
      </c>
    </row>
    <row r="82" spans="3:47" x14ac:dyDescent="0.2">
      <c r="C82" t="s">
        <v>100</v>
      </c>
      <c r="D82">
        <v>-0.31026225156596998</v>
      </c>
      <c r="E82">
        <v>0.964332554369559</v>
      </c>
      <c r="F82">
        <v>0.656233622724951</v>
      </c>
      <c r="G82">
        <v>0.34282336566766902</v>
      </c>
      <c r="H82">
        <v>-0.63448824985026497</v>
      </c>
      <c r="I82">
        <v>0.66502161106827795</v>
      </c>
      <c r="J82">
        <v>-0.58952583586382201</v>
      </c>
      <c r="K82">
        <v>-0.118426994466269</v>
      </c>
      <c r="L82">
        <v>1.11759144790309</v>
      </c>
      <c r="M82">
        <v>0.61171949247732804</v>
      </c>
      <c r="N82">
        <v>1.5215605313760101</v>
      </c>
      <c r="P82">
        <v>3.0263801205632299E-2</v>
      </c>
      <c r="Q82">
        <v>0.245633579250532</v>
      </c>
      <c r="R82">
        <v>0.29611715188467103</v>
      </c>
      <c r="S82">
        <v>-0.28920252719506301</v>
      </c>
      <c r="T82">
        <v>1.28787369721384</v>
      </c>
      <c r="U82">
        <v>-0.96567490673122003</v>
      </c>
      <c r="V82">
        <v>0.64519538850398395</v>
      </c>
      <c r="W82">
        <v>-8.97134412579524E-2</v>
      </c>
      <c r="X82">
        <v>-0.22729125635481101</v>
      </c>
      <c r="Y82">
        <v>-1.2970917819645</v>
      </c>
      <c r="Z82">
        <v>0.48885723602360098</v>
      </c>
      <c r="AA82">
        <v>-0.75359698915664397</v>
      </c>
      <c r="AB82">
        <v>-1.02480771333059</v>
      </c>
      <c r="AC82">
        <v>-0.28571351334606898</v>
      </c>
      <c r="AD82">
        <v>-0.38572335480813202</v>
      </c>
      <c r="AE82">
        <v>-0.38572335480813202</v>
      </c>
      <c r="AF82">
        <v>-0.39673391919504702</v>
      </c>
      <c r="AG82">
        <v>0.42084831557477698</v>
      </c>
      <c r="AH82">
        <v>-1.3608812196465101</v>
      </c>
      <c r="AI82">
        <v>-0.26490323164554802</v>
      </c>
      <c r="AJ82">
        <v>-0.83855158546744202</v>
      </c>
      <c r="AK82">
        <v>2.7273581650711899E-2</v>
      </c>
      <c r="AL82">
        <v>-5.8274249156180999E-2</v>
      </c>
      <c r="AM82">
        <v>0.48885723602360098</v>
      </c>
      <c r="AN82">
        <v>-0.525837756944037</v>
      </c>
      <c r="AO82">
        <v>-0.240888620586448</v>
      </c>
      <c r="AP82">
        <v>-0.11201135498350299</v>
      </c>
      <c r="AQ82">
        <v>-0.41521731892816699</v>
      </c>
      <c r="AR82">
        <v>-0.141041197027197</v>
      </c>
      <c r="AS82">
        <v>0.77180591829698397</v>
      </c>
      <c r="AT82">
        <v>1.53737803992846</v>
      </c>
      <c r="AU82">
        <v>-0.407803946864223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78"/>
  <sheetViews>
    <sheetView topLeftCell="A41" workbookViewId="0">
      <selection activeCell="C64" sqref="C64:AW78"/>
    </sheetView>
  </sheetViews>
  <sheetFormatPr baseColWidth="10" defaultColWidth="8.83203125" defaultRowHeight="15" x14ac:dyDescent="0.2"/>
  <cols>
    <col min="1" max="1" width="13.6640625" customWidth="1"/>
    <col min="2" max="2" width="14.83203125" customWidth="1"/>
  </cols>
  <sheetData>
    <row r="1" spans="1:49" x14ac:dyDescent="0.2">
      <c r="B1" s="1" t="s">
        <v>41</v>
      </c>
      <c r="C1" s="1"/>
      <c r="D1" s="1"/>
      <c r="E1" s="1"/>
    </row>
    <row r="2" spans="1:49" x14ac:dyDescent="0.2"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O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82</v>
      </c>
      <c r="AP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88</v>
      </c>
    </row>
    <row r="3" spans="1:49" x14ac:dyDescent="0.2">
      <c r="A3" t="s">
        <v>161</v>
      </c>
      <c r="B3" t="s">
        <v>89</v>
      </c>
      <c r="C3" t="s">
        <v>90</v>
      </c>
      <c r="D3" t="s">
        <v>90</v>
      </c>
      <c r="E3" t="s">
        <v>90</v>
      </c>
      <c r="F3" t="s">
        <v>90</v>
      </c>
      <c r="G3" t="s">
        <v>90</v>
      </c>
      <c r="H3" t="s">
        <v>90</v>
      </c>
      <c r="I3" t="s">
        <v>90</v>
      </c>
      <c r="J3" t="s">
        <v>90</v>
      </c>
      <c r="K3" t="s">
        <v>90</v>
      </c>
      <c r="L3" t="s">
        <v>90</v>
      </c>
      <c r="M3" t="s">
        <v>90</v>
      </c>
      <c r="O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3</v>
      </c>
      <c r="AN3" t="s">
        <v>3</v>
      </c>
      <c r="AO3" t="s">
        <v>3</v>
      </c>
      <c r="AP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</row>
    <row r="4" spans="1:49" x14ac:dyDescent="0.2">
      <c r="A4" t="s">
        <v>162</v>
      </c>
      <c r="B4" t="s">
        <v>141</v>
      </c>
      <c r="C4">
        <v>63.747166935100999</v>
      </c>
      <c r="D4">
        <v>86.974908216540101</v>
      </c>
      <c r="E4">
        <v>133.17275289407601</v>
      </c>
      <c r="F4">
        <v>7.2880327117605699</v>
      </c>
      <c r="G4">
        <v>173.51953912902201</v>
      </c>
      <c r="H4">
        <v>141.93934696267701</v>
      </c>
      <c r="I4">
        <v>171.42805273647801</v>
      </c>
      <c r="J4">
        <v>124.81466711985701</v>
      </c>
      <c r="K4">
        <v>74.017112060239199</v>
      </c>
      <c r="L4">
        <v>107.102108226179</v>
      </c>
      <c r="M4">
        <v>111.643210139674</v>
      </c>
      <c r="O4">
        <v>142.197945068682</v>
      </c>
      <c r="Q4">
        <v>95.792990435422595</v>
      </c>
      <c r="R4">
        <v>280.90800696476299</v>
      </c>
      <c r="S4">
        <v>140.9595081969</v>
      </c>
      <c r="T4">
        <v>185.575668086077</v>
      </c>
      <c r="U4">
        <v>78.770363750408094</v>
      </c>
      <c r="V4">
        <v>105.032532911842</v>
      </c>
      <c r="W4">
        <v>64.041208598340404</v>
      </c>
      <c r="X4">
        <v>109.703003259714</v>
      </c>
      <c r="Y4">
        <v>54.921322736096499</v>
      </c>
      <c r="Z4">
        <v>0</v>
      </c>
      <c r="AA4">
        <v>95.942861897067303</v>
      </c>
      <c r="AB4">
        <v>175.97974801048599</v>
      </c>
      <c r="AC4">
        <v>247.91698026254301</v>
      </c>
      <c r="AD4">
        <v>81.408023830734507</v>
      </c>
      <c r="AE4">
        <v>127.605485552475</v>
      </c>
      <c r="AF4">
        <v>180.481934385209</v>
      </c>
      <c r="AG4">
        <v>168.52288382828601</v>
      </c>
      <c r="AH4">
        <v>257.15116211328399</v>
      </c>
      <c r="AI4">
        <v>129.308992178919</v>
      </c>
      <c r="AJ4">
        <v>92.704266015799007</v>
      </c>
      <c r="AK4">
        <v>152.042501100311</v>
      </c>
      <c r="AL4">
        <v>187.375447577318</v>
      </c>
      <c r="AM4">
        <v>50.057399965115899</v>
      </c>
      <c r="AN4">
        <v>63.643412256321298</v>
      </c>
      <c r="AO4">
        <v>97.856942703458799</v>
      </c>
      <c r="AP4">
        <v>190.714282297903</v>
      </c>
      <c r="AS4">
        <v>169.71673849272901</v>
      </c>
      <c r="AT4">
        <v>128.595566330971</v>
      </c>
      <c r="AU4">
        <v>39.798792443529798</v>
      </c>
      <c r="AV4">
        <v>101.362195468417</v>
      </c>
      <c r="AW4">
        <v>118.175367807089</v>
      </c>
    </row>
    <row r="5" spans="1:49" x14ac:dyDescent="0.2">
      <c r="A5" t="s">
        <v>162</v>
      </c>
      <c r="B5" t="s">
        <v>142</v>
      </c>
      <c r="C5">
        <v>1990.02447707691</v>
      </c>
      <c r="D5">
        <v>2633.0789883478501</v>
      </c>
      <c r="E5">
        <v>3345.3799086926801</v>
      </c>
      <c r="F5">
        <v>573.41686534211101</v>
      </c>
      <c r="G5">
        <v>2902.1533063137499</v>
      </c>
      <c r="H5">
        <v>3740.1032409723398</v>
      </c>
      <c r="I5">
        <v>3317.1294572861402</v>
      </c>
      <c r="J5">
        <v>3050.0773052218901</v>
      </c>
      <c r="K5">
        <v>2490.43516366728</v>
      </c>
      <c r="L5">
        <v>1756.6735554644799</v>
      </c>
      <c r="M5">
        <v>2406.3298644135598</v>
      </c>
      <c r="O5">
        <v>1392.08480785909</v>
      </c>
      <c r="Q5">
        <v>1947.2195135209599</v>
      </c>
      <c r="R5">
        <v>4348.7491767071097</v>
      </c>
      <c r="S5">
        <v>1951.9171355111901</v>
      </c>
      <c r="T5">
        <v>2190.1215110143999</v>
      </c>
      <c r="U5">
        <v>2247.0036925100198</v>
      </c>
      <c r="V5">
        <v>1688.42391244194</v>
      </c>
      <c r="W5">
        <v>1302.59059666346</v>
      </c>
      <c r="X5">
        <v>1601.4385502007301</v>
      </c>
      <c r="Y5">
        <v>1369.42319162575</v>
      </c>
      <c r="Z5">
        <v>2122.3701888553701</v>
      </c>
      <c r="AA5">
        <v>2646.65511799565</v>
      </c>
      <c r="AB5">
        <v>2149.6842995155498</v>
      </c>
      <c r="AC5">
        <v>1783.8465327817801</v>
      </c>
      <c r="AD5">
        <v>1541.1965208622601</v>
      </c>
      <c r="AE5">
        <v>2125.33961636812</v>
      </c>
      <c r="AF5">
        <v>2153.43802296071</v>
      </c>
      <c r="AG5">
        <v>2130.4193003558698</v>
      </c>
      <c r="AH5">
        <v>2697.2152721403199</v>
      </c>
      <c r="AI5">
        <v>1848.5854469252899</v>
      </c>
      <c r="AJ5">
        <v>2534.8543926460502</v>
      </c>
      <c r="AK5">
        <v>2798.0274958968898</v>
      </c>
      <c r="AL5">
        <v>3461.6846649972499</v>
      </c>
      <c r="AM5">
        <v>2011.30319681684</v>
      </c>
      <c r="AN5">
        <v>1203.0792020518199</v>
      </c>
      <c r="AO5">
        <v>2254.0299289659702</v>
      </c>
      <c r="AP5">
        <v>3092.65893887119</v>
      </c>
      <c r="AS5">
        <v>2621.1456479328999</v>
      </c>
      <c r="AT5">
        <v>3132.4235090411298</v>
      </c>
      <c r="AU5">
        <v>1537.3699064324901</v>
      </c>
      <c r="AV5">
        <v>1104.9423907187399</v>
      </c>
      <c r="AW5">
        <v>1603.3829972266401</v>
      </c>
    </row>
    <row r="6" spans="1:49" x14ac:dyDescent="0.2">
      <c r="A6" t="s">
        <v>162</v>
      </c>
      <c r="B6" t="s">
        <v>143</v>
      </c>
      <c r="C6">
        <v>65.045922411902495</v>
      </c>
      <c r="D6">
        <v>76.162390685132806</v>
      </c>
      <c r="E6">
        <v>91.263813486633595</v>
      </c>
      <c r="F6">
        <v>67.344795394828793</v>
      </c>
      <c r="G6">
        <v>52.772374239830199</v>
      </c>
      <c r="H6">
        <v>40.875751857417399</v>
      </c>
      <c r="I6">
        <v>67.528426906019703</v>
      </c>
      <c r="J6">
        <v>55.631586531980801</v>
      </c>
      <c r="K6">
        <v>75.407085129858601</v>
      </c>
      <c r="L6">
        <v>80.294435226167906</v>
      </c>
      <c r="M6">
        <v>51.068768547808197</v>
      </c>
      <c r="O6">
        <v>62.002188130019398</v>
      </c>
      <c r="Q6">
        <v>70.818738712452401</v>
      </c>
      <c r="R6">
        <v>20.974261584726101</v>
      </c>
      <c r="S6">
        <v>78.896817773468996</v>
      </c>
      <c r="T6">
        <v>75.147188937269107</v>
      </c>
      <c r="U6">
        <v>83.489788115123403</v>
      </c>
      <c r="V6">
        <v>70.514668460900893</v>
      </c>
      <c r="W6">
        <v>80.099013130801197</v>
      </c>
      <c r="X6">
        <v>103.29261655891101</v>
      </c>
      <c r="Y6">
        <v>62.784354271575801</v>
      </c>
      <c r="Z6">
        <v>62.644474128848699</v>
      </c>
      <c r="AA6">
        <v>53.063805270143398</v>
      </c>
      <c r="AB6">
        <v>65.911985552252204</v>
      </c>
      <c r="AC6">
        <v>41.490707635634699</v>
      </c>
      <c r="AD6">
        <v>61.7861286493428</v>
      </c>
      <c r="AE6">
        <v>49.7385611579965</v>
      </c>
      <c r="AF6">
        <v>18.927514985999</v>
      </c>
      <c r="AG6">
        <v>59.367972045346697</v>
      </c>
      <c r="AH6">
        <v>93.421884318332999</v>
      </c>
      <c r="AI6">
        <v>95.814113480931795</v>
      </c>
      <c r="AJ6">
        <v>85.051168897744702</v>
      </c>
      <c r="AK6">
        <v>74.163245868254805</v>
      </c>
      <c r="AL6">
        <v>77.491205001795805</v>
      </c>
      <c r="AM6">
        <v>80.181463938045596</v>
      </c>
      <c r="AN6">
        <v>89.585666081354503</v>
      </c>
      <c r="AO6">
        <v>79.751939868826398</v>
      </c>
      <c r="AP6">
        <v>38.201852133285897</v>
      </c>
      <c r="AS6">
        <v>76.577407947232999</v>
      </c>
      <c r="AT6">
        <v>11.1104340407613</v>
      </c>
      <c r="AU6">
        <v>102.285843289803</v>
      </c>
      <c r="AV6">
        <v>73.933675371444807</v>
      </c>
      <c r="AW6">
        <v>57.893025614707703</v>
      </c>
    </row>
    <row r="7" spans="1:49" x14ac:dyDescent="0.2">
      <c r="A7" t="s">
        <v>162</v>
      </c>
      <c r="B7" t="s">
        <v>151</v>
      </c>
      <c r="C7">
        <v>560.97704506504499</v>
      </c>
      <c r="D7">
        <v>643.570361676885</v>
      </c>
      <c r="E7">
        <v>660.28171143771397</v>
      </c>
      <c r="F7">
        <v>841.73211283694297</v>
      </c>
      <c r="G7">
        <v>470.771229242826</v>
      </c>
      <c r="H7">
        <v>425.99875558310998</v>
      </c>
      <c r="I7">
        <v>525.74662853820996</v>
      </c>
      <c r="J7">
        <v>570.03507128788101</v>
      </c>
      <c r="K7">
        <v>723.30238640557297</v>
      </c>
      <c r="L7">
        <v>691.15084940368195</v>
      </c>
      <c r="M7">
        <v>484.63054006972499</v>
      </c>
      <c r="O7">
        <v>624.51672767864295</v>
      </c>
      <c r="Q7">
        <v>627.67065472077297</v>
      </c>
      <c r="R7">
        <v>325.94043764579499</v>
      </c>
      <c r="S7">
        <v>629.86709870007905</v>
      </c>
      <c r="T7">
        <v>576.65664445728703</v>
      </c>
      <c r="U7">
        <v>752.53134888878697</v>
      </c>
      <c r="V7">
        <v>597.17606135779897</v>
      </c>
      <c r="W7">
        <v>656.97272926122798</v>
      </c>
      <c r="X7">
        <v>661.24179510521299</v>
      </c>
      <c r="Y7">
        <v>643.08548939603304</v>
      </c>
      <c r="Z7">
        <v>532.75711707666505</v>
      </c>
      <c r="AA7">
        <v>563.16836123496296</v>
      </c>
      <c r="AB7">
        <v>639.24251036981502</v>
      </c>
      <c r="AC7">
        <v>504.22477322601401</v>
      </c>
      <c r="AD7">
        <v>623.86886268220098</v>
      </c>
      <c r="AE7">
        <v>511.56913448589899</v>
      </c>
      <c r="AF7">
        <v>262.17968208100501</v>
      </c>
      <c r="AG7">
        <v>497.94200917099403</v>
      </c>
      <c r="AH7">
        <v>467.57194209503803</v>
      </c>
      <c r="AI7">
        <v>653.06170939978301</v>
      </c>
      <c r="AJ7">
        <v>703.05282881784399</v>
      </c>
      <c r="AK7">
        <v>603.38721660256704</v>
      </c>
      <c r="AL7">
        <v>413.01203941084702</v>
      </c>
      <c r="AM7">
        <v>571.35144150311805</v>
      </c>
      <c r="AN7">
        <v>722.16284665795899</v>
      </c>
      <c r="AO7">
        <v>575.17111882871905</v>
      </c>
      <c r="AP7">
        <v>547.67210348644505</v>
      </c>
      <c r="AS7">
        <v>607.58759500795998</v>
      </c>
      <c r="AT7">
        <v>452.17308440556099</v>
      </c>
      <c r="AU7">
        <v>695.79869678791499</v>
      </c>
      <c r="AV7">
        <v>798.62187283680703</v>
      </c>
      <c r="AW7">
        <v>582.56195632211598</v>
      </c>
    </row>
    <row r="8" spans="1:49" x14ac:dyDescent="0.2">
      <c r="A8" t="s">
        <v>162</v>
      </c>
      <c r="B8" t="s">
        <v>144</v>
      </c>
      <c r="C8">
        <v>294.083573283156</v>
      </c>
      <c r="D8">
        <v>335.88574157567399</v>
      </c>
      <c r="E8">
        <v>314.19094875484302</v>
      </c>
      <c r="F8">
        <v>263.68193938640599</v>
      </c>
      <c r="G8">
        <v>196.134794818323</v>
      </c>
      <c r="H8">
        <v>103.422403653358</v>
      </c>
      <c r="I8">
        <v>362.36449222457799</v>
      </c>
      <c r="J8">
        <v>334.71957937059699</v>
      </c>
      <c r="K8">
        <v>356.672735738075</v>
      </c>
      <c r="L8">
        <v>343.25176984498398</v>
      </c>
      <c r="M8">
        <v>238.093745958406</v>
      </c>
      <c r="O8">
        <v>264.47619869811302</v>
      </c>
      <c r="Q8">
        <v>334.274543891593</v>
      </c>
      <c r="R8">
        <v>108.565190520515</v>
      </c>
      <c r="S8">
        <v>345.78559013367999</v>
      </c>
      <c r="T8">
        <v>258.34644810374999</v>
      </c>
      <c r="U8">
        <v>331.67951686657801</v>
      </c>
      <c r="V8">
        <v>240.35889740298401</v>
      </c>
      <c r="W8">
        <v>427.40543265008102</v>
      </c>
      <c r="X8">
        <v>355.60977860710199</v>
      </c>
      <c r="Y8">
        <v>384.08003281806998</v>
      </c>
      <c r="Z8">
        <v>281.586420557407</v>
      </c>
      <c r="AA8">
        <v>272.825485006517</v>
      </c>
      <c r="AB8">
        <v>258.23439675213001</v>
      </c>
      <c r="AC8">
        <v>274.70348166321997</v>
      </c>
      <c r="AD8">
        <v>325.02466404410598</v>
      </c>
      <c r="AE8">
        <v>226.76156011596001</v>
      </c>
      <c r="AF8">
        <v>90.917945078341802</v>
      </c>
      <c r="AG8">
        <v>323.080201057865</v>
      </c>
      <c r="AH8">
        <v>327.920469800901</v>
      </c>
      <c r="AI8">
        <v>462.03575605704299</v>
      </c>
      <c r="AJ8">
        <v>319.07967482143698</v>
      </c>
      <c r="AK8">
        <v>367.35906652081002</v>
      </c>
      <c r="AL8">
        <v>198.83193363880599</v>
      </c>
      <c r="AM8">
        <v>364.80001031937201</v>
      </c>
      <c r="AN8">
        <v>374.09768901651898</v>
      </c>
      <c r="AO8">
        <v>306.90158748932203</v>
      </c>
      <c r="AP8">
        <v>141.78749504624699</v>
      </c>
      <c r="AS8">
        <v>358.44095816522201</v>
      </c>
      <c r="AT8">
        <v>184.60012215489701</v>
      </c>
      <c r="AU8">
        <v>465.53385827093598</v>
      </c>
      <c r="AV8">
        <v>367.53138765835502</v>
      </c>
      <c r="AW8">
        <v>290.12706730185897</v>
      </c>
    </row>
    <row r="9" spans="1:49" x14ac:dyDescent="0.2">
      <c r="A9" t="s">
        <v>162</v>
      </c>
      <c r="B9" t="s">
        <v>152</v>
      </c>
      <c r="C9">
        <v>423.09663510716899</v>
      </c>
      <c r="D9">
        <v>508.61490110513301</v>
      </c>
      <c r="E9">
        <v>646.99556614392804</v>
      </c>
      <c r="F9">
        <v>664.77004072815998</v>
      </c>
      <c r="G9">
        <v>375.45136432252201</v>
      </c>
      <c r="H9">
        <v>243.46838843749899</v>
      </c>
      <c r="I9">
        <v>457.83180226529203</v>
      </c>
      <c r="J9">
        <v>610.56098964205898</v>
      </c>
      <c r="K9">
        <v>507.50075101758102</v>
      </c>
      <c r="L9">
        <v>631.27774125906603</v>
      </c>
      <c r="M9">
        <v>448.44948526733702</v>
      </c>
      <c r="O9">
        <v>546.52469624313096</v>
      </c>
      <c r="Q9">
        <v>515.13407906597001</v>
      </c>
      <c r="R9">
        <v>220.90208282201101</v>
      </c>
      <c r="S9">
        <v>477.88937361197901</v>
      </c>
      <c r="T9">
        <v>521.32003843124801</v>
      </c>
      <c r="U9">
        <v>513.458550262833</v>
      </c>
      <c r="V9">
        <v>567.192454546303</v>
      </c>
      <c r="W9">
        <v>624.589035738966</v>
      </c>
      <c r="X9">
        <v>545.49346874747005</v>
      </c>
      <c r="Y9">
        <v>685.91282127248201</v>
      </c>
      <c r="Z9">
        <v>444.03245909960498</v>
      </c>
      <c r="AA9">
        <v>426.56717829274402</v>
      </c>
      <c r="AB9">
        <v>503.36538072235601</v>
      </c>
      <c r="AC9">
        <v>453.95862691817302</v>
      </c>
      <c r="AD9">
        <v>509.39029712202603</v>
      </c>
      <c r="AE9">
        <v>400.04327179903999</v>
      </c>
      <c r="AF9">
        <v>217.64699473821901</v>
      </c>
      <c r="AG9">
        <v>445.23511233190601</v>
      </c>
      <c r="AH9">
        <v>469.64040752153301</v>
      </c>
      <c r="AI9">
        <v>707.90767711524802</v>
      </c>
      <c r="AJ9">
        <v>513.29905489796397</v>
      </c>
      <c r="AK9">
        <v>527.36514258171701</v>
      </c>
      <c r="AL9">
        <v>358.78316474335497</v>
      </c>
      <c r="AM9">
        <v>533.10714758936297</v>
      </c>
      <c r="AN9">
        <v>715.39270313183704</v>
      </c>
      <c r="AO9">
        <v>411.11449630000902</v>
      </c>
      <c r="AP9">
        <v>278.33881607841198</v>
      </c>
      <c r="AS9">
        <v>548.29029017914104</v>
      </c>
      <c r="AT9">
        <v>224.16247634236601</v>
      </c>
      <c r="AU9">
        <v>913.14475682503303</v>
      </c>
      <c r="AV9">
        <v>827.13069667047296</v>
      </c>
      <c r="AW9">
        <v>562.22670423968702</v>
      </c>
    </row>
    <row r="10" spans="1:49" x14ac:dyDescent="0.2">
      <c r="A10" t="s">
        <v>162</v>
      </c>
      <c r="B10" t="s">
        <v>145</v>
      </c>
      <c r="C10">
        <v>327.18772633926102</v>
      </c>
      <c r="D10">
        <v>321.98468254838002</v>
      </c>
      <c r="E10">
        <v>404.828974035096</v>
      </c>
      <c r="F10">
        <v>406.83479373846598</v>
      </c>
      <c r="G10">
        <v>226.750852858755</v>
      </c>
      <c r="H10">
        <v>121.38549986867901</v>
      </c>
      <c r="I10">
        <v>328.09240139470302</v>
      </c>
      <c r="J10">
        <v>289.35714110803701</v>
      </c>
      <c r="K10">
        <v>330.58837554100899</v>
      </c>
      <c r="L10">
        <v>426.35189403513999</v>
      </c>
      <c r="M10">
        <v>242.16890964470301</v>
      </c>
      <c r="O10">
        <v>328.14900999195697</v>
      </c>
      <c r="Q10">
        <v>464.986869618296</v>
      </c>
      <c r="R10">
        <v>109.00576429421901</v>
      </c>
      <c r="S10">
        <v>299.41900941565001</v>
      </c>
      <c r="T10">
        <v>263.92765758900703</v>
      </c>
      <c r="U10">
        <v>416.18069300345599</v>
      </c>
      <c r="V10">
        <v>306.53251189809998</v>
      </c>
      <c r="W10">
        <v>511.70503509723699</v>
      </c>
      <c r="X10">
        <v>379.82951835392601</v>
      </c>
      <c r="Y10">
        <v>494.22210101705701</v>
      </c>
      <c r="Z10">
        <v>259.67615146751399</v>
      </c>
      <c r="AA10">
        <v>204.66291834862699</v>
      </c>
      <c r="AB10">
        <v>277.251957272065</v>
      </c>
      <c r="AC10">
        <v>262.69135765600203</v>
      </c>
      <c r="AD10">
        <v>290.19288232713501</v>
      </c>
      <c r="AE10">
        <v>277.86200907735798</v>
      </c>
      <c r="AF10">
        <v>128.32906409587699</v>
      </c>
      <c r="AG10">
        <v>278.15953258501401</v>
      </c>
      <c r="AH10">
        <v>360.45919578137199</v>
      </c>
      <c r="AI10">
        <v>525.77880000784205</v>
      </c>
      <c r="AJ10">
        <v>345.01298162359399</v>
      </c>
      <c r="AK10">
        <v>376.486559541259</v>
      </c>
      <c r="AL10">
        <v>150.37126484669</v>
      </c>
      <c r="AM10">
        <v>439.81598141430698</v>
      </c>
      <c r="AN10">
        <v>536.40094177884305</v>
      </c>
      <c r="AO10">
        <v>318.34117531165998</v>
      </c>
      <c r="AP10">
        <v>140.208951860334</v>
      </c>
      <c r="AS10">
        <v>373.17846815526599</v>
      </c>
      <c r="AT10">
        <v>160.454307407926</v>
      </c>
      <c r="AU10">
        <v>723.04080944648001</v>
      </c>
      <c r="AV10">
        <v>570.12715396924398</v>
      </c>
      <c r="AW10">
        <v>370.18966063355901</v>
      </c>
    </row>
    <row r="11" spans="1:49" x14ac:dyDescent="0.2">
      <c r="A11" t="s">
        <v>163</v>
      </c>
      <c r="B11" t="s">
        <v>153</v>
      </c>
      <c r="C11">
        <v>2084.8589216843902</v>
      </c>
      <c r="D11">
        <v>2437.0575178363702</v>
      </c>
      <c r="E11">
        <v>1565.8970720513801</v>
      </c>
      <c r="F11">
        <v>2974.47313639599</v>
      </c>
      <c r="G11">
        <v>2350.57122996931</v>
      </c>
      <c r="H11">
        <v>1522.6722007083799</v>
      </c>
      <c r="I11">
        <v>3071.0863262681701</v>
      </c>
      <c r="J11">
        <v>2124.0154533418399</v>
      </c>
      <c r="K11">
        <v>2394.1846926200001</v>
      </c>
      <c r="L11">
        <v>2477.0065178240102</v>
      </c>
      <c r="M11">
        <v>2902.77347309684</v>
      </c>
      <c r="O11">
        <v>4012.9878189589099</v>
      </c>
      <c r="Q11">
        <v>2541.67904925524</v>
      </c>
      <c r="R11">
        <v>1714.19180886597</v>
      </c>
      <c r="S11">
        <v>3216.9369341095698</v>
      </c>
      <c r="T11">
        <v>3641.0182669204601</v>
      </c>
      <c r="U11">
        <v>2440.0294749571099</v>
      </c>
      <c r="V11">
        <v>3198.4224913942498</v>
      </c>
      <c r="W11">
        <v>3378.1835098878601</v>
      </c>
      <c r="X11">
        <v>2853.9929228586302</v>
      </c>
      <c r="Y11">
        <v>2544.8761522233399</v>
      </c>
      <c r="Z11">
        <v>2982.9104223895602</v>
      </c>
      <c r="AA11">
        <v>3037.19874418676</v>
      </c>
      <c r="AB11">
        <v>2628.2592901549701</v>
      </c>
      <c r="AC11">
        <v>2800.0358868195999</v>
      </c>
      <c r="AD11">
        <v>2596.6699049961198</v>
      </c>
      <c r="AE11">
        <v>3280.9507740796498</v>
      </c>
      <c r="AF11">
        <v>1644.4035849329</v>
      </c>
      <c r="AG11">
        <v>3046.88579767281</v>
      </c>
      <c r="AH11">
        <v>2535.15127743943</v>
      </c>
      <c r="AI11">
        <v>2866.2562800196101</v>
      </c>
      <c r="AJ11">
        <v>1923.3268344568</v>
      </c>
      <c r="AK11">
        <v>2405.1341107766898</v>
      </c>
      <c r="AL11">
        <v>3545.1962221608401</v>
      </c>
      <c r="AM11">
        <v>4455.1184763393703</v>
      </c>
      <c r="AN11">
        <v>2796.1239079953998</v>
      </c>
      <c r="AO11">
        <v>2331.7235200538698</v>
      </c>
      <c r="AP11">
        <v>2639.12605915212</v>
      </c>
      <c r="AS11">
        <v>2761.0148466599899</v>
      </c>
      <c r="AT11">
        <v>1444.16287698782</v>
      </c>
      <c r="AU11">
        <v>3894.0870157939198</v>
      </c>
      <c r="AV11">
        <v>2368.0804766901801</v>
      </c>
      <c r="AW11">
        <v>3610.9690059622899</v>
      </c>
    </row>
    <row r="12" spans="1:49" x14ac:dyDescent="0.2">
      <c r="A12" t="s">
        <v>163</v>
      </c>
      <c r="B12" t="s">
        <v>147</v>
      </c>
      <c r="C12">
        <v>27140.432316747199</v>
      </c>
      <c r="D12">
        <v>37648.298642498303</v>
      </c>
      <c r="E12">
        <v>24792.4727544126</v>
      </c>
      <c r="F12">
        <v>24742.689886936201</v>
      </c>
      <c r="G12">
        <v>38136.247245509403</v>
      </c>
      <c r="H12">
        <v>38605.930549796001</v>
      </c>
      <c r="I12">
        <v>35073.486942901698</v>
      </c>
      <c r="J12">
        <v>34293.632312772301</v>
      </c>
      <c r="K12">
        <v>35958.768259745899</v>
      </c>
      <c r="L12">
        <v>32215.645989341501</v>
      </c>
      <c r="M12">
        <v>34639.351794152601</v>
      </c>
      <c r="O12">
        <v>34619.932661275998</v>
      </c>
      <c r="Q12">
        <v>33201.149709828802</v>
      </c>
      <c r="R12">
        <v>38220.499893515698</v>
      </c>
      <c r="S12">
        <v>36825.787053725697</v>
      </c>
      <c r="T12">
        <v>35607.787610205698</v>
      </c>
      <c r="U12">
        <v>31482.4371596745</v>
      </c>
      <c r="V12">
        <v>27026.400237973899</v>
      </c>
      <c r="W12">
        <v>36033.306903120298</v>
      </c>
      <c r="X12">
        <v>32884.581175641899</v>
      </c>
      <c r="Y12">
        <v>31026.250138556501</v>
      </c>
      <c r="Z12">
        <v>30483.599601548201</v>
      </c>
      <c r="AA12">
        <v>37945.2567543064</v>
      </c>
      <c r="AB12">
        <v>29600.526606056901</v>
      </c>
      <c r="AC12">
        <v>29362.574610481101</v>
      </c>
      <c r="AD12">
        <v>31357.3580280145</v>
      </c>
      <c r="AE12">
        <v>40100.604685113402</v>
      </c>
      <c r="AF12">
        <v>31274.123349278299</v>
      </c>
      <c r="AG12">
        <v>32524.006747323499</v>
      </c>
      <c r="AH12">
        <v>32502.385489897799</v>
      </c>
      <c r="AI12">
        <v>30720.099633289799</v>
      </c>
      <c r="AJ12">
        <v>25362.214012474698</v>
      </c>
      <c r="AK12">
        <v>29605.548898565601</v>
      </c>
      <c r="AL12">
        <v>45199.044515023998</v>
      </c>
      <c r="AM12">
        <v>42523.346062652097</v>
      </c>
      <c r="AN12">
        <v>25162.2999032275</v>
      </c>
      <c r="AO12">
        <v>36968.868412431497</v>
      </c>
      <c r="AP12">
        <v>37804.564567100701</v>
      </c>
      <c r="AS12">
        <v>34148.687000402802</v>
      </c>
      <c r="AT12">
        <v>34310.591379939899</v>
      </c>
      <c r="AU12">
        <v>33560.559074131001</v>
      </c>
      <c r="AV12">
        <v>27165.053360997401</v>
      </c>
      <c r="AW12">
        <v>38079.5007063675</v>
      </c>
    </row>
    <row r="13" spans="1:49" x14ac:dyDescent="0.2">
      <c r="A13" t="s">
        <v>163</v>
      </c>
      <c r="B13" t="s">
        <v>148</v>
      </c>
      <c r="C13">
        <v>3461.8129059931298</v>
      </c>
      <c r="D13">
        <v>3655.7413454920802</v>
      </c>
      <c r="E13">
        <v>3108.6603596885502</v>
      </c>
      <c r="F13">
        <v>4632.1880313533502</v>
      </c>
      <c r="G13">
        <v>3904.0475588097802</v>
      </c>
      <c r="H13">
        <v>3952.2056889413702</v>
      </c>
      <c r="I13">
        <v>3610.9092685503501</v>
      </c>
      <c r="J13">
        <v>4257.5906414885903</v>
      </c>
      <c r="K13">
        <v>3881.7956769529201</v>
      </c>
      <c r="L13">
        <v>5133.1045373729403</v>
      </c>
      <c r="M13">
        <v>4395.2590777683099</v>
      </c>
      <c r="O13">
        <v>4731.39599683283</v>
      </c>
      <c r="Q13">
        <v>4278.5351756241598</v>
      </c>
      <c r="R13">
        <v>3348.3015368547799</v>
      </c>
      <c r="S13">
        <v>4681.2480720860103</v>
      </c>
      <c r="T13">
        <v>4208.3553790948999</v>
      </c>
      <c r="U13">
        <v>4566.7522307244199</v>
      </c>
      <c r="V13">
        <v>3516.3265123299798</v>
      </c>
      <c r="W13">
        <v>4899.0696786492099</v>
      </c>
      <c r="X13">
        <v>4279.7717131927402</v>
      </c>
      <c r="Y13">
        <v>5808.4459394536198</v>
      </c>
      <c r="Z13">
        <v>7.0519908127721198</v>
      </c>
      <c r="AA13">
        <v>4120.6918250240797</v>
      </c>
      <c r="AB13">
        <v>3798.2427098205098</v>
      </c>
      <c r="AC13">
        <v>4208.7871516792602</v>
      </c>
      <c r="AD13">
        <v>4048.65445454366</v>
      </c>
      <c r="AE13">
        <v>4778.3161329356399</v>
      </c>
      <c r="AF13">
        <v>3602.3480032724001</v>
      </c>
      <c r="AG13">
        <v>4194.6996729476296</v>
      </c>
      <c r="AH13">
        <v>4048.2264948320299</v>
      </c>
      <c r="AI13">
        <v>4597.6265005391797</v>
      </c>
      <c r="AJ13">
        <v>3820.5193240131498</v>
      </c>
      <c r="AK13">
        <v>4056.9440877136299</v>
      </c>
      <c r="AL13">
        <v>4682.5304504898304</v>
      </c>
      <c r="AM13">
        <v>4441.5068162116004</v>
      </c>
      <c r="AN13">
        <v>4674.0970618117899</v>
      </c>
      <c r="AO13">
        <v>3760.62221485489</v>
      </c>
      <c r="AP13">
        <v>3825.17198343879</v>
      </c>
      <c r="AS13">
        <v>3975.2827340751201</v>
      </c>
      <c r="AT13">
        <v>3430.98007087516</v>
      </c>
      <c r="AU13">
        <v>5405.8795213468802</v>
      </c>
      <c r="AV13">
        <v>5086.54464276611</v>
      </c>
      <c r="AW13">
        <v>4767.6905280914598</v>
      </c>
    </row>
    <row r="14" spans="1:49" x14ac:dyDescent="0.2">
      <c r="A14" t="s">
        <v>163</v>
      </c>
      <c r="B14" t="s">
        <v>154</v>
      </c>
      <c r="C14">
        <v>89.238156587609097</v>
      </c>
      <c r="D14">
        <v>82.316253487579303</v>
      </c>
      <c r="E14">
        <v>95.497026475670296</v>
      </c>
      <c r="F14">
        <v>87.933780447999695</v>
      </c>
      <c r="G14">
        <v>67.925866575628703</v>
      </c>
      <c r="H14">
        <v>48.116866756668401</v>
      </c>
      <c r="I14">
        <v>76.803583268432106</v>
      </c>
      <c r="J14">
        <v>53.062253500852002</v>
      </c>
      <c r="K14">
        <v>86.301857308840297</v>
      </c>
      <c r="L14">
        <v>100.344247816623</v>
      </c>
      <c r="M14">
        <v>54.986638628600303</v>
      </c>
      <c r="O14">
        <v>94.845269995558695</v>
      </c>
      <c r="Q14">
        <v>113.236569795072</v>
      </c>
      <c r="R14">
        <v>24.131327940380402</v>
      </c>
      <c r="S14">
        <v>60.073531447080498</v>
      </c>
      <c r="T14">
        <v>74.494528105387005</v>
      </c>
      <c r="U14">
        <v>111.334995128619</v>
      </c>
      <c r="V14">
        <v>83.255492356990601</v>
      </c>
      <c r="W14">
        <v>118.767471505242</v>
      </c>
      <c r="X14">
        <v>92.1042670239149</v>
      </c>
      <c r="Y14">
        <v>120.931758249835</v>
      </c>
      <c r="Z14">
        <v>66.656600418280803</v>
      </c>
      <c r="AA14">
        <v>56.3419043305706</v>
      </c>
      <c r="AB14">
        <v>60.627639617002004</v>
      </c>
      <c r="AC14">
        <v>62.035419287272198</v>
      </c>
      <c r="AD14">
        <v>69.320554415737305</v>
      </c>
      <c r="AE14">
        <v>80.075174496849996</v>
      </c>
      <c r="AF14">
        <v>14.2509535198026</v>
      </c>
      <c r="AG14">
        <v>61.170120402394801</v>
      </c>
      <c r="AH14">
        <v>87.004884993895303</v>
      </c>
      <c r="AI14">
        <v>111.00353123078401</v>
      </c>
      <c r="AJ14">
        <v>107.548927148982</v>
      </c>
      <c r="AK14">
        <v>125.099580669384</v>
      </c>
      <c r="AL14">
        <v>57.252400389047096</v>
      </c>
      <c r="AM14">
        <v>122.386134484015</v>
      </c>
      <c r="AN14">
        <v>134.41761935947301</v>
      </c>
      <c r="AO14">
        <v>66.0883611699944</v>
      </c>
      <c r="AP14">
        <v>21.331287987541799</v>
      </c>
      <c r="AS14">
        <v>99.150331168234302</v>
      </c>
      <c r="AT14">
        <v>41.946075022600198</v>
      </c>
      <c r="AU14">
        <v>151.53655039602299</v>
      </c>
      <c r="AV14">
        <v>119.228829440062</v>
      </c>
      <c r="AW14">
        <v>102.14121610858901</v>
      </c>
    </row>
    <row r="15" spans="1:49" x14ac:dyDescent="0.2">
      <c r="A15" t="s">
        <v>163</v>
      </c>
      <c r="B15" t="s">
        <v>155</v>
      </c>
      <c r="C15">
        <v>224.88160493904701</v>
      </c>
      <c r="D15">
        <v>225.19503396412199</v>
      </c>
      <c r="E15">
        <v>274.44411736108799</v>
      </c>
      <c r="F15">
        <v>342.44144427174803</v>
      </c>
      <c r="G15">
        <v>174.13997631869401</v>
      </c>
      <c r="H15">
        <v>248.621889496367</v>
      </c>
      <c r="I15">
        <v>216.43926063505501</v>
      </c>
      <c r="J15">
        <v>158.78596739999301</v>
      </c>
      <c r="K15">
        <v>238.07659739376101</v>
      </c>
      <c r="L15">
        <v>258.77349501926801</v>
      </c>
      <c r="M15">
        <v>198.84707666679199</v>
      </c>
      <c r="O15">
        <v>215.95752410660899</v>
      </c>
      <c r="Q15">
        <v>431.10651765138999</v>
      </c>
      <c r="R15">
        <v>111.01448052462599</v>
      </c>
      <c r="S15">
        <v>310.239887660742</v>
      </c>
      <c r="T15">
        <v>238.983019257801</v>
      </c>
      <c r="U15">
        <v>282.91906733964601</v>
      </c>
      <c r="V15">
        <v>330.72369109197098</v>
      </c>
      <c r="W15">
        <v>313.47831059038202</v>
      </c>
      <c r="X15">
        <v>340.85129992202297</v>
      </c>
      <c r="Y15">
        <v>478.56651710160497</v>
      </c>
      <c r="Z15">
        <v>42.835807222664599</v>
      </c>
      <c r="AA15">
        <v>156.63052464171</v>
      </c>
      <c r="AB15">
        <v>315.68140960502399</v>
      </c>
      <c r="AC15">
        <v>180.371519206908</v>
      </c>
      <c r="AD15">
        <v>369.71295362851902</v>
      </c>
      <c r="AE15">
        <v>243.74093237841399</v>
      </c>
      <c r="AF15">
        <v>140.203123230502</v>
      </c>
      <c r="AG15">
        <v>264.63202602311202</v>
      </c>
      <c r="AH15">
        <v>228.00390794703699</v>
      </c>
      <c r="AI15">
        <v>290.15001264652301</v>
      </c>
      <c r="AJ15">
        <v>287.18726014848301</v>
      </c>
      <c r="AK15">
        <v>377.062925273063</v>
      </c>
      <c r="AL15">
        <v>224.15885102449101</v>
      </c>
      <c r="AM15">
        <v>276.97363290806499</v>
      </c>
      <c r="AN15">
        <v>420.66774341988003</v>
      </c>
      <c r="AO15">
        <v>215.51623210064599</v>
      </c>
      <c r="AP15">
        <v>124.830128454564</v>
      </c>
      <c r="AS15">
        <v>353.11415242613703</v>
      </c>
      <c r="AT15">
        <v>240.662288575389</v>
      </c>
      <c r="AU15">
        <v>506.527908148645</v>
      </c>
      <c r="AV15">
        <v>388.390169116067</v>
      </c>
      <c r="AW15">
        <v>292.89099315875598</v>
      </c>
    </row>
    <row r="16" spans="1:49" x14ac:dyDescent="0.2">
      <c r="A16" t="s">
        <v>163</v>
      </c>
      <c r="B16" t="s">
        <v>149</v>
      </c>
      <c r="C16">
        <v>1893.54557736693</v>
      </c>
      <c r="D16">
        <v>1929.75643330714</v>
      </c>
      <c r="E16">
        <v>2559.6837851662399</v>
      </c>
      <c r="F16">
        <v>2022.3762725669901</v>
      </c>
      <c r="G16">
        <v>1952.9185091326699</v>
      </c>
      <c r="H16">
        <v>1732.8847516148901</v>
      </c>
      <c r="I16">
        <v>2035.5032548413999</v>
      </c>
      <c r="J16">
        <v>1819.6017782164899</v>
      </c>
      <c r="K16">
        <v>1915.0844673270501</v>
      </c>
      <c r="L16">
        <v>2118.0277436624101</v>
      </c>
      <c r="M16">
        <v>1894.7439498497599</v>
      </c>
      <c r="O16">
        <v>1689.35806545836</v>
      </c>
      <c r="Q16">
        <v>2592.76036939093</v>
      </c>
      <c r="R16">
        <v>1461.9577205803</v>
      </c>
      <c r="S16">
        <v>2203.7257178974</v>
      </c>
      <c r="T16">
        <v>2391.6167360089398</v>
      </c>
      <c r="U16">
        <v>2917.7192120771001</v>
      </c>
      <c r="V16">
        <v>2028.37873232075</v>
      </c>
      <c r="W16">
        <v>2133.07210656592</v>
      </c>
      <c r="X16">
        <v>2573.8756393910598</v>
      </c>
      <c r="Y16">
        <v>2464.0371581466402</v>
      </c>
      <c r="Z16">
        <v>3358.8105007634999</v>
      </c>
      <c r="AA16">
        <v>2031.0922477562101</v>
      </c>
      <c r="AB16">
        <v>2319.6857373253401</v>
      </c>
      <c r="AC16">
        <v>2091.5607118821999</v>
      </c>
      <c r="AD16">
        <v>2361.8297380755798</v>
      </c>
      <c r="AE16">
        <v>2138.1795372125998</v>
      </c>
      <c r="AF16">
        <v>1700.15612819326</v>
      </c>
      <c r="AG16">
        <v>2325.6713082472102</v>
      </c>
      <c r="AH16">
        <v>1923.1692359214401</v>
      </c>
      <c r="AI16">
        <v>2412.9643428799</v>
      </c>
      <c r="AJ16">
        <v>2732.6274636917501</v>
      </c>
      <c r="AK16">
        <v>2400.91225179818</v>
      </c>
      <c r="AL16">
        <v>1787.23310150721</v>
      </c>
      <c r="AM16">
        <v>2109.8451835732099</v>
      </c>
      <c r="AN16">
        <v>2736.3311438974802</v>
      </c>
      <c r="AO16">
        <v>2185.6677967272799</v>
      </c>
      <c r="AP16">
        <v>1708.3928613103301</v>
      </c>
      <c r="AS16">
        <v>2283.0923640740598</v>
      </c>
      <c r="AT16">
        <v>1506.2471470302</v>
      </c>
      <c r="AU16">
        <v>2654.6417722871902</v>
      </c>
      <c r="AV16">
        <v>2397.8314693880302</v>
      </c>
      <c r="AW16">
        <v>2413.13187925804</v>
      </c>
    </row>
    <row r="17" spans="1:49" x14ac:dyDescent="0.2">
      <c r="A17" t="s">
        <v>163</v>
      </c>
      <c r="B17" t="s">
        <v>156</v>
      </c>
      <c r="C17">
        <v>10587.2274972143</v>
      </c>
      <c r="D17">
        <v>10088.849012855801</v>
      </c>
      <c r="E17">
        <v>10951.665850014901</v>
      </c>
      <c r="F17">
        <v>13570.956638736299</v>
      </c>
      <c r="G17">
        <v>9413.0696200627299</v>
      </c>
      <c r="H17">
        <v>9975.9889482498293</v>
      </c>
      <c r="I17">
        <v>10137.711291088701</v>
      </c>
      <c r="J17">
        <v>10287.049983081401</v>
      </c>
      <c r="K17">
        <v>10956.611014267501</v>
      </c>
      <c r="L17">
        <v>12152.8013053123</v>
      </c>
      <c r="M17">
        <v>9914.5725541722295</v>
      </c>
      <c r="O17">
        <v>9934.6250410449702</v>
      </c>
      <c r="Q17">
        <v>13055.678204088101</v>
      </c>
      <c r="R17">
        <v>7023.7015065667401</v>
      </c>
      <c r="S17">
        <v>10761.252625408901</v>
      </c>
      <c r="T17">
        <v>10593.514752446399</v>
      </c>
      <c r="U17">
        <v>12081.3832543595</v>
      </c>
      <c r="V17">
        <v>11506.5698057134</v>
      </c>
      <c r="W17">
        <v>14345.3510992831</v>
      </c>
      <c r="X17">
        <v>11877.4203035715</v>
      </c>
      <c r="Y17">
        <v>15059.006911701999</v>
      </c>
      <c r="Z17">
        <v>11160.904398463999</v>
      </c>
      <c r="AA17">
        <v>10101.8646127837</v>
      </c>
      <c r="AB17">
        <v>10950.563880105001</v>
      </c>
      <c r="AC17">
        <v>9862.7380602415906</v>
      </c>
      <c r="AD17">
        <v>13206.193000970999</v>
      </c>
      <c r="AE17">
        <v>10773.9112748834</v>
      </c>
      <c r="AF17">
        <v>9172.2005231760595</v>
      </c>
      <c r="AG17">
        <v>10259.6113638478</v>
      </c>
      <c r="AH17">
        <v>10374.2421138634</v>
      </c>
      <c r="AI17">
        <v>13055.5109591945</v>
      </c>
      <c r="AJ17">
        <v>12530.5241057697</v>
      </c>
      <c r="AK17">
        <v>11687.6665694843</v>
      </c>
      <c r="AL17">
        <v>8993.0390298230504</v>
      </c>
      <c r="AM17">
        <v>11654.8603192765</v>
      </c>
      <c r="AN17">
        <v>15140.675674134</v>
      </c>
      <c r="AO17">
        <v>10682.0281710197</v>
      </c>
      <c r="AP17">
        <v>7069.1053891522397</v>
      </c>
      <c r="AS17">
        <v>10776.146165370599</v>
      </c>
      <c r="AT17">
        <v>9111.2901805843994</v>
      </c>
      <c r="AU17">
        <v>16156.292614284101</v>
      </c>
      <c r="AV17">
        <v>16409.7993984034</v>
      </c>
      <c r="AW17">
        <v>12928.2578664455</v>
      </c>
    </row>
    <row r="18" spans="1:49" x14ac:dyDescent="0.2">
      <c r="A18" t="s">
        <v>163</v>
      </c>
      <c r="B18" t="s">
        <v>150</v>
      </c>
      <c r="C18">
        <v>955.75464800859902</v>
      </c>
      <c r="D18">
        <v>912.00337294340795</v>
      </c>
      <c r="E18">
        <v>1115.90015089385</v>
      </c>
      <c r="F18">
        <v>1237.3565514940201</v>
      </c>
      <c r="G18">
        <v>819.09827994938303</v>
      </c>
      <c r="H18">
        <v>664.23365273601303</v>
      </c>
      <c r="I18">
        <v>913.96473744908599</v>
      </c>
      <c r="J18">
        <v>876.64256098333203</v>
      </c>
      <c r="K18">
        <v>1011.41103458193</v>
      </c>
      <c r="L18">
        <v>1183.6382710483399</v>
      </c>
      <c r="M18">
        <v>883.60199982847803</v>
      </c>
      <c r="O18">
        <v>899.14164717496897</v>
      </c>
      <c r="Q18">
        <v>1188.53498943659</v>
      </c>
      <c r="R18">
        <v>558.52470767859802</v>
      </c>
      <c r="S18">
        <v>933.439867603518</v>
      </c>
      <c r="T18">
        <v>912.58058857453295</v>
      </c>
      <c r="U18">
        <v>1194.4449946740399</v>
      </c>
      <c r="V18">
        <v>959.71602074219697</v>
      </c>
      <c r="W18">
        <v>1272.0192366952799</v>
      </c>
      <c r="X18">
        <v>1372.90744567557</v>
      </c>
      <c r="Y18">
        <v>1366.6058661575701</v>
      </c>
      <c r="Z18">
        <v>968.50478460220802</v>
      </c>
      <c r="AA18">
        <v>918.29394281645295</v>
      </c>
      <c r="AB18">
        <v>887.71495350765099</v>
      </c>
      <c r="AC18">
        <v>930.17149712583296</v>
      </c>
      <c r="AD18">
        <v>1016.38167478753</v>
      </c>
      <c r="AE18">
        <v>954.326378714866</v>
      </c>
      <c r="AF18">
        <v>590.00948538975103</v>
      </c>
      <c r="AG18">
        <v>895.59397955604004</v>
      </c>
      <c r="AH18">
        <v>951.03744352171304</v>
      </c>
      <c r="AI18">
        <v>1341.18420811295</v>
      </c>
      <c r="AJ18">
        <v>1073.87246409927</v>
      </c>
      <c r="AK18">
        <v>1089.50285861456</v>
      </c>
      <c r="AL18">
        <v>714.46910768090402</v>
      </c>
      <c r="AM18">
        <v>1122.91657912492</v>
      </c>
      <c r="AN18">
        <v>1388.4247426552699</v>
      </c>
      <c r="AO18">
        <v>907.18233151214997</v>
      </c>
      <c r="AP18">
        <v>585.840733563105</v>
      </c>
      <c r="AS18">
        <v>1021.62949435643</v>
      </c>
      <c r="AT18">
        <v>617.59333806562404</v>
      </c>
      <c r="AU18">
        <v>1595.13607421751</v>
      </c>
      <c r="AV18">
        <v>1452.0524897417999</v>
      </c>
      <c r="AW18">
        <v>1106.6865167313299</v>
      </c>
    </row>
    <row r="19" spans="1:49" x14ac:dyDescent="0.2">
      <c r="B19" t="s">
        <v>157</v>
      </c>
      <c r="C19">
        <v>212.897986815293</v>
      </c>
      <c r="D19">
        <v>204.47104992442999</v>
      </c>
      <c r="E19">
        <v>253.83087270617199</v>
      </c>
      <c r="F19">
        <v>194.53187387761301</v>
      </c>
      <c r="G19">
        <v>151.848562954621</v>
      </c>
      <c r="H19">
        <v>117.224806003842</v>
      </c>
      <c r="I19">
        <v>209.917312249166</v>
      </c>
      <c r="J19">
        <v>171.377484864275</v>
      </c>
      <c r="K19">
        <v>208.790981916937</v>
      </c>
      <c r="L19">
        <v>188.88883043500701</v>
      </c>
      <c r="M19">
        <v>175.047094490403</v>
      </c>
      <c r="O19">
        <v>200.79601589852999</v>
      </c>
      <c r="Q19">
        <v>237.96331708804499</v>
      </c>
      <c r="R19">
        <v>84.248088055166505</v>
      </c>
      <c r="S19">
        <v>148.85802757615599</v>
      </c>
      <c r="T19">
        <v>208.37853532416699</v>
      </c>
      <c r="U19">
        <v>255.34066020073899</v>
      </c>
      <c r="V19">
        <v>216.46442015683101</v>
      </c>
      <c r="W19">
        <v>229.46211262259399</v>
      </c>
      <c r="X19">
        <v>261.58330975540201</v>
      </c>
      <c r="Y19">
        <v>230.54556771536201</v>
      </c>
      <c r="Z19">
        <v>192.808180732095</v>
      </c>
      <c r="AA19">
        <v>161.385182476285</v>
      </c>
      <c r="AB19">
        <v>158.00643837431599</v>
      </c>
      <c r="AC19">
        <v>176.69158159361399</v>
      </c>
      <c r="AD19">
        <v>187.75814347313701</v>
      </c>
      <c r="AE19">
        <v>165.435132042785</v>
      </c>
      <c r="AF19">
        <v>63.757099656302401</v>
      </c>
      <c r="AG19">
        <v>186.545375684107</v>
      </c>
      <c r="AH19">
        <v>232.280565710302</v>
      </c>
      <c r="AI19">
        <v>297.15867318917202</v>
      </c>
      <c r="AJ19">
        <v>223.85983057571099</v>
      </c>
      <c r="AK19">
        <v>190.603499645071</v>
      </c>
      <c r="AL19">
        <v>138.06759913136</v>
      </c>
      <c r="AM19">
        <v>257.23103024268403</v>
      </c>
      <c r="AN19">
        <v>277.83371780098599</v>
      </c>
      <c r="AO19">
        <v>218.627916566881</v>
      </c>
      <c r="AP19">
        <v>90.946393872684794</v>
      </c>
      <c r="AS19">
        <v>233.432469922942</v>
      </c>
      <c r="AT19">
        <v>71.847609140400195</v>
      </c>
      <c r="AU19">
        <v>331.74255583161101</v>
      </c>
      <c r="AV19">
        <v>230.79640307863301</v>
      </c>
      <c r="AW19">
        <v>207.061451782707</v>
      </c>
    </row>
    <row r="20" spans="1:49" x14ac:dyDescent="0.2">
      <c r="B20" t="s">
        <v>181</v>
      </c>
      <c r="C20">
        <f>SUM(C11:C18)</f>
        <v>46437.751628541206</v>
      </c>
      <c r="D20">
        <f t="shared" ref="D20:AW20" si="0">SUM(D11:D18)</f>
        <v>56979.217612384804</v>
      </c>
      <c r="E20">
        <f t="shared" si="0"/>
        <v>44464.221116064276</v>
      </c>
      <c r="F20">
        <f t="shared" si="0"/>
        <v>49610.415742202596</v>
      </c>
      <c r="G20">
        <f t="shared" si="0"/>
        <v>56818.018286327599</v>
      </c>
      <c r="H20">
        <f t="shared" si="0"/>
        <v>56750.654548299528</v>
      </c>
      <c r="I20">
        <f t="shared" si="0"/>
        <v>55135.90466500289</v>
      </c>
      <c r="J20">
        <f t="shared" si="0"/>
        <v>53870.380950784798</v>
      </c>
      <c r="K20">
        <f t="shared" si="0"/>
        <v>56442.233600197898</v>
      </c>
      <c r="L20">
        <f t="shared" si="0"/>
        <v>55639.342107397395</v>
      </c>
      <c r="M20">
        <f t="shared" si="0"/>
        <v>54884.1365641636</v>
      </c>
      <c r="O20">
        <f t="shared" si="0"/>
        <v>56198.244024848202</v>
      </c>
      <c r="Q20">
        <f t="shared" si="0"/>
        <v>57402.68058507028</v>
      </c>
      <c r="R20">
        <f t="shared" si="0"/>
        <v>52462.32298252709</v>
      </c>
      <c r="S20">
        <f t="shared" si="0"/>
        <v>58992.703689938928</v>
      </c>
      <c r="T20">
        <f t="shared" si="0"/>
        <v>57668.350880614118</v>
      </c>
      <c r="U20">
        <f t="shared" si="0"/>
        <v>55077.020388934936</v>
      </c>
      <c r="V20">
        <f t="shared" si="0"/>
        <v>48649.792983923442</v>
      </c>
      <c r="W20">
        <f t="shared" si="0"/>
        <v>62493.248316297293</v>
      </c>
      <c r="X20">
        <f t="shared" si="0"/>
        <v>56275.504767277343</v>
      </c>
      <c r="Y20">
        <f t="shared" si="0"/>
        <v>58868.720441591104</v>
      </c>
      <c r="Z20">
        <f t="shared" si="0"/>
        <v>49071.274106221194</v>
      </c>
      <c r="AA20">
        <f t="shared" si="0"/>
        <v>58367.370555845882</v>
      </c>
      <c r="AB20">
        <f t="shared" si="0"/>
        <v>50561.302226192391</v>
      </c>
      <c r="AC20">
        <f t="shared" si="0"/>
        <v>49498.274856723758</v>
      </c>
      <c r="AD20">
        <f t="shared" si="0"/>
        <v>55026.120309432656</v>
      </c>
      <c r="AE20">
        <f t="shared" si="0"/>
        <v>62350.104889814822</v>
      </c>
      <c r="AF20">
        <f t="shared" si="0"/>
        <v>48137.695150992986</v>
      </c>
      <c r="AG20">
        <f t="shared" si="0"/>
        <v>53572.271016020495</v>
      </c>
      <c r="AH20">
        <f t="shared" si="0"/>
        <v>52649.220848416757</v>
      </c>
      <c r="AI20">
        <f t="shared" si="0"/>
        <v>55394.795467913245</v>
      </c>
      <c r="AJ20">
        <f t="shared" si="0"/>
        <v>47837.82039180283</v>
      </c>
      <c r="AK20">
        <f t="shared" si="0"/>
        <v>51747.871282895416</v>
      </c>
      <c r="AL20">
        <f t="shared" si="0"/>
        <v>65202.923678099374</v>
      </c>
      <c r="AM20">
        <f t="shared" si="0"/>
        <v>66706.953204569785</v>
      </c>
      <c r="AN20">
        <f t="shared" si="0"/>
        <v>52453.037796500786</v>
      </c>
      <c r="AO20">
        <f t="shared" si="0"/>
        <v>57117.697039870029</v>
      </c>
      <c r="AP20">
        <f t="shared" si="0"/>
        <v>53778.363010159395</v>
      </c>
      <c r="AS20">
        <f t="shared" si="0"/>
        <v>55418.11708853337</v>
      </c>
      <c r="AT20">
        <f t="shared" si="0"/>
        <v>50703.473357081086</v>
      </c>
      <c r="AU20">
        <f t="shared" si="0"/>
        <v>63924.660530605273</v>
      </c>
      <c r="AV20">
        <f t="shared" si="0"/>
        <v>55386.980836543044</v>
      </c>
      <c r="AW20">
        <f t="shared" si="0"/>
        <v>63301.268712123463</v>
      </c>
    </row>
    <row r="21" spans="1:49" x14ac:dyDescent="0.2">
      <c r="B21" t="s">
        <v>187</v>
      </c>
      <c r="C21">
        <f>SUM(C4:C10)</f>
        <v>3724.1625462185448</v>
      </c>
      <c r="D21">
        <f t="shared" ref="D21:AW21" si="1">SUM(D4:D10)</f>
        <v>4606.2719741555948</v>
      </c>
      <c r="E21">
        <f t="shared" si="1"/>
        <v>5596.1136754449708</v>
      </c>
      <c r="F21">
        <f t="shared" si="1"/>
        <v>2825.0685801386753</v>
      </c>
      <c r="G21">
        <f t="shared" si="1"/>
        <v>4397.553460925028</v>
      </c>
      <c r="H21">
        <f t="shared" si="1"/>
        <v>4817.1933873350808</v>
      </c>
      <c r="I21">
        <f t="shared" si="1"/>
        <v>5230.1212613514208</v>
      </c>
      <c r="J21">
        <f t="shared" si="1"/>
        <v>5035.1963402823021</v>
      </c>
      <c r="K21">
        <f t="shared" si="1"/>
        <v>4557.9236095596152</v>
      </c>
      <c r="L21">
        <f t="shared" si="1"/>
        <v>4036.1023534596984</v>
      </c>
      <c r="M21">
        <f t="shared" si="1"/>
        <v>3982.3845240412134</v>
      </c>
      <c r="O21">
        <f t="shared" si="1"/>
        <v>3359.9515736696353</v>
      </c>
      <c r="Q21">
        <f t="shared" si="1"/>
        <v>4055.897389965467</v>
      </c>
      <c r="R21">
        <f t="shared" si="1"/>
        <v>5415.0449205391387</v>
      </c>
      <c r="S21">
        <f t="shared" si="1"/>
        <v>3924.7345333429475</v>
      </c>
      <c r="T21">
        <f t="shared" si="1"/>
        <v>4071.0951566190383</v>
      </c>
      <c r="U21">
        <f t="shared" si="1"/>
        <v>4423.1139533972055</v>
      </c>
      <c r="V21">
        <f t="shared" si="1"/>
        <v>3575.2310390198691</v>
      </c>
      <c r="W21">
        <f t="shared" si="1"/>
        <v>3667.4030511401133</v>
      </c>
      <c r="X21">
        <f t="shared" si="1"/>
        <v>3756.6087308330661</v>
      </c>
      <c r="Y21">
        <f t="shared" si="1"/>
        <v>3694.4293131370641</v>
      </c>
      <c r="Z21">
        <f t="shared" si="1"/>
        <v>3703.0668111854102</v>
      </c>
      <c r="AA21">
        <f t="shared" si="1"/>
        <v>4262.8857280457114</v>
      </c>
      <c r="AB21">
        <f t="shared" si="1"/>
        <v>4069.6702781946537</v>
      </c>
      <c r="AC21">
        <f t="shared" si="1"/>
        <v>3568.8324601433669</v>
      </c>
      <c r="AD21">
        <f t="shared" si="1"/>
        <v>3432.8673795178051</v>
      </c>
      <c r="AE21">
        <f t="shared" si="1"/>
        <v>3718.9196385568489</v>
      </c>
      <c r="AF21">
        <f t="shared" si="1"/>
        <v>3051.9211583253609</v>
      </c>
      <c r="AG21">
        <f t="shared" si="1"/>
        <v>3902.7270113752811</v>
      </c>
      <c r="AH21">
        <f t="shared" si="1"/>
        <v>4673.3803337707814</v>
      </c>
      <c r="AI21">
        <f t="shared" si="1"/>
        <v>4422.4924951650564</v>
      </c>
      <c r="AJ21">
        <f t="shared" si="1"/>
        <v>4593.0543677204332</v>
      </c>
      <c r="AK21">
        <f t="shared" si="1"/>
        <v>4898.8312281118087</v>
      </c>
      <c r="AL21">
        <f t="shared" si="1"/>
        <v>4847.5497202160614</v>
      </c>
      <c r="AM21">
        <f t="shared" si="1"/>
        <v>4050.6166415461616</v>
      </c>
      <c r="AN21">
        <f t="shared" si="1"/>
        <v>3704.3624609746535</v>
      </c>
      <c r="AO21">
        <f t="shared" si="1"/>
        <v>4043.1671894679648</v>
      </c>
      <c r="AP21">
        <f t="shared" si="1"/>
        <v>4429.582439773817</v>
      </c>
      <c r="AS21">
        <f t="shared" si="1"/>
        <v>4754.9371058804509</v>
      </c>
      <c r="AT21">
        <f t="shared" si="1"/>
        <v>4293.5194997236122</v>
      </c>
      <c r="AU21">
        <f t="shared" si="1"/>
        <v>4476.9726634961871</v>
      </c>
      <c r="AV21">
        <f t="shared" si="1"/>
        <v>3843.6493726934805</v>
      </c>
      <c r="AW21">
        <f t="shared" si="1"/>
        <v>3584.5567791456579</v>
      </c>
    </row>
    <row r="23" spans="1:49" x14ac:dyDescent="0.2">
      <c r="B23" t="s">
        <v>141</v>
      </c>
      <c r="C23">
        <f t="shared" ref="C23:AW23" si="2">C4/C$20</f>
        <v>1.3727444740438556E-3</v>
      </c>
      <c r="D23">
        <f t="shared" si="2"/>
        <v>1.5264321249233077E-3</v>
      </c>
      <c r="E23">
        <f t="shared" si="2"/>
        <v>2.9950542155333659E-3</v>
      </c>
      <c r="F23">
        <f t="shared" si="2"/>
        <v>1.4690529403406683E-4</v>
      </c>
      <c r="G23">
        <f t="shared" si="2"/>
        <v>3.0539526784371654E-3</v>
      </c>
      <c r="H23">
        <f t="shared" si="2"/>
        <v>2.5011050197117075E-3</v>
      </c>
      <c r="I23">
        <f t="shared" si="2"/>
        <v>3.1091908943554655E-3</v>
      </c>
      <c r="J23">
        <f t="shared" si="2"/>
        <v>2.3169442078734485E-3</v>
      </c>
      <c r="K23">
        <f t="shared" si="2"/>
        <v>1.3113781531845629E-3</v>
      </c>
      <c r="L23">
        <f t="shared" si="2"/>
        <v>1.9249348423179772E-3</v>
      </c>
      <c r="M23">
        <f t="shared" si="2"/>
        <v>2.0341617292121352E-3</v>
      </c>
      <c r="O23">
        <f t="shared" si="2"/>
        <v>2.5302916049442545E-3</v>
      </c>
      <c r="Q23">
        <f t="shared" si="2"/>
        <v>1.6687894965716488E-3</v>
      </c>
      <c r="R23">
        <f t="shared" si="2"/>
        <v>5.3544713805052284E-3</v>
      </c>
      <c r="S23">
        <f t="shared" si="2"/>
        <v>2.3894396998274947E-3</v>
      </c>
      <c r="T23">
        <f t="shared" si="2"/>
        <v>3.2179811846927706E-3</v>
      </c>
      <c r="U23">
        <f t="shared" si="2"/>
        <v>1.4301856417460301E-3</v>
      </c>
      <c r="V23">
        <f t="shared" si="2"/>
        <v>2.1589512815923082E-3</v>
      </c>
      <c r="W23">
        <f t="shared" si="2"/>
        <v>1.0247700403443331E-3</v>
      </c>
      <c r="X23">
        <f t="shared" si="2"/>
        <v>1.9493917240437312E-3</v>
      </c>
      <c r="Y23">
        <f t="shared" si="2"/>
        <v>9.3294575326448336E-4</v>
      </c>
      <c r="Z23">
        <f t="shared" si="2"/>
        <v>0</v>
      </c>
      <c r="AA23">
        <f t="shared" si="2"/>
        <v>1.6437756401116133E-3</v>
      </c>
      <c r="AB23">
        <f t="shared" si="2"/>
        <v>3.4805224601063139E-3</v>
      </c>
      <c r="AC23">
        <f t="shared" si="2"/>
        <v>5.0085984002504365E-3</v>
      </c>
      <c r="AD23">
        <f t="shared" si="2"/>
        <v>1.479443278445699E-3</v>
      </c>
      <c r="AE23">
        <f t="shared" si="2"/>
        <v>2.0465961649620249E-3</v>
      </c>
      <c r="AF23">
        <f t="shared" si="2"/>
        <v>3.7492849173416647E-3</v>
      </c>
      <c r="AG23">
        <f t="shared" si="2"/>
        <v>3.1457110298327685E-3</v>
      </c>
      <c r="AH23">
        <f t="shared" si="2"/>
        <v>4.8842349035639514E-3</v>
      </c>
      <c r="AI23">
        <f t="shared" si="2"/>
        <v>2.3343166282438869E-3</v>
      </c>
      <c r="AJ23">
        <f t="shared" si="2"/>
        <v>1.9378864935009495E-3</v>
      </c>
      <c r="AK23">
        <f t="shared" si="2"/>
        <v>2.9381402042438537E-3</v>
      </c>
      <c r="AL23">
        <f t="shared" si="2"/>
        <v>2.873727695131782E-3</v>
      </c>
      <c r="AM23">
        <f t="shared" si="2"/>
        <v>7.5040752965594446E-4</v>
      </c>
      <c r="AN23">
        <f t="shared" si="2"/>
        <v>1.2133408269552508E-3</v>
      </c>
      <c r="AO23">
        <f t="shared" si="2"/>
        <v>1.7132508447452186E-3</v>
      </c>
      <c r="AP23">
        <f t="shared" si="2"/>
        <v>3.5463013677429103E-3</v>
      </c>
      <c r="AS23">
        <f t="shared" si="2"/>
        <v>3.0624775327822407E-3</v>
      </c>
      <c r="AT23">
        <f t="shared" si="2"/>
        <v>2.5362279508019492E-3</v>
      </c>
      <c r="AU23">
        <f t="shared" si="2"/>
        <v>6.2258903079313638E-4</v>
      </c>
      <c r="AV23">
        <f t="shared" si="2"/>
        <v>1.8300725899386915E-3</v>
      </c>
      <c r="AW23">
        <f t="shared" si="2"/>
        <v>1.8668720266021468E-3</v>
      </c>
    </row>
    <row r="24" spans="1:49" x14ac:dyDescent="0.2">
      <c r="B24" t="s">
        <v>142</v>
      </c>
      <c r="C24">
        <f t="shared" ref="C24:AW24" si="3">C5/C$20</f>
        <v>4.2853592331412893E-2</v>
      </c>
      <c r="D24">
        <f t="shared" si="3"/>
        <v>4.6211216978443263E-2</v>
      </c>
      <c r="E24">
        <f t="shared" si="3"/>
        <v>7.5237569099890142E-2</v>
      </c>
      <c r="F24">
        <f t="shared" si="3"/>
        <v>1.1558396694795619E-2</v>
      </c>
      <c r="G24">
        <f t="shared" si="3"/>
        <v>5.1078045201940973E-2</v>
      </c>
      <c r="H24">
        <f t="shared" si="3"/>
        <v>6.5904142793440396E-2</v>
      </c>
      <c r="I24">
        <f t="shared" si="3"/>
        <v>6.0162782808053997E-2</v>
      </c>
      <c r="J24">
        <f t="shared" si="3"/>
        <v>5.6618818196373932E-2</v>
      </c>
      <c r="K24">
        <f t="shared" si="3"/>
        <v>4.4123611076556477E-2</v>
      </c>
      <c r="L24">
        <f t="shared" si="3"/>
        <v>3.1572507670447912E-2</v>
      </c>
      <c r="M24">
        <f t="shared" si="3"/>
        <v>4.3843813805841382E-2</v>
      </c>
      <c r="O24">
        <f t="shared" si="3"/>
        <v>2.4770966282212946E-2</v>
      </c>
      <c r="Q24">
        <f t="shared" si="3"/>
        <v>3.3922100739445391E-2</v>
      </c>
      <c r="R24">
        <f t="shared" si="3"/>
        <v>8.2892806293680288E-2</v>
      </c>
      <c r="S24">
        <f t="shared" si="3"/>
        <v>3.3087433079356986E-2</v>
      </c>
      <c r="T24">
        <f t="shared" si="3"/>
        <v>3.7977876557427868E-2</v>
      </c>
      <c r="U24">
        <f t="shared" si="3"/>
        <v>4.079748099375119E-2</v>
      </c>
      <c r="V24">
        <f t="shared" si="3"/>
        <v>3.4705675171113018E-2</v>
      </c>
      <c r="W24">
        <f t="shared" si="3"/>
        <v>2.0843701227861507E-2</v>
      </c>
      <c r="X24">
        <f t="shared" si="3"/>
        <v>2.8457115699332163E-2</v>
      </c>
      <c r="Y24">
        <f t="shared" si="3"/>
        <v>2.3262323035957211E-2</v>
      </c>
      <c r="Z24">
        <f t="shared" si="3"/>
        <v>4.3250765901476737E-2</v>
      </c>
      <c r="AA24">
        <f t="shared" si="3"/>
        <v>4.5344772135371955E-2</v>
      </c>
      <c r="AB24">
        <f t="shared" si="3"/>
        <v>4.2516395046525199E-2</v>
      </c>
      <c r="AC24">
        <f t="shared" si="3"/>
        <v>3.603855968607491E-2</v>
      </c>
      <c r="AD24">
        <f t="shared" si="3"/>
        <v>2.8008453298097886E-2</v>
      </c>
      <c r="AE24">
        <f t="shared" si="3"/>
        <v>3.4087185901676073E-2</v>
      </c>
      <c r="AF24">
        <f t="shared" si="3"/>
        <v>4.4734963238394453E-2</v>
      </c>
      <c r="AG24">
        <f t="shared" si="3"/>
        <v>3.9767201575583375E-2</v>
      </c>
      <c r="AH24">
        <f t="shared" si="3"/>
        <v>5.1229918100894924E-2</v>
      </c>
      <c r="AI24">
        <f t="shared" si="3"/>
        <v>3.3371103391762864E-2</v>
      </c>
      <c r="AJ24">
        <f t="shared" si="3"/>
        <v>5.2988500978619124E-2</v>
      </c>
      <c r="AK24">
        <f t="shared" si="3"/>
        <v>5.4070388337340965E-2</v>
      </c>
      <c r="AL24">
        <f t="shared" si="3"/>
        <v>5.3090942395271373E-2</v>
      </c>
      <c r="AM24">
        <f t="shared" si="3"/>
        <v>3.0151327563242011E-2</v>
      </c>
      <c r="AN24">
        <f t="shared" si="3"/>
        <v>2.2936311271795948E-2</v>
      </c>
      <c r="AO24">
        <f t="shared" si="3"/>
        <v>3.9462899342608007E-2</v>
      </c>
      <c r="AP24">
        <f t="shared" si="3"/>
        <v>5.750749494340221E-2</v>
      </c>
      <c r="AS24">
        <f t="shared" si="3"/>
        <v>4.7297630912747926E-2</v>
      </c>
      <c r="AT24">
        <f t="shared" si="3"/>
        <v>6.1779268788568417E-2</v>
      </c>
      <c r="AU24">
        <f t="shared" si="3"/>
        <v>2.4049715613216935E-2</v>
      </c>
      <c r="AV24">
        <f t="shared" si="3"/>
        <v>1.9949496687310397E-2</v>
      </c>
      <c r="AW24">
        <f t="shared" si="3"/>
        <v>2.5329397496255238E-2</v>
      </c>
    </row>
    <row r="25" spans="1:49" x14ac:dyDescent="0.2">
      <c r="B25" t="s">
        <v>143</v>
      </c>
      <c r="C25">
        <f t="shared" ref="C25:AW25" si="4">C6/C$20</f>
        <v>1.4007121389555924E-3</v>
      </c>
      <c r="D25">
        <f t="shared" si="4"/>
        <v>1.3366696468745196E-3</v>
      </c>
      <c r="E25">
        <f t="shared" si="4"/>
        <v>2.0525224820290692E-3</v>
      </c>
      <c r="F25">
        <f t="shared" si="4"/>
        <v>1.3574729094144621E-3</v>
      </c>
      <c r="G25">
        <f t="shared" si="4"/>
        <v>9.2879645984641948E-4</v>
      </c>
      <c r="H25">
        <f t="shared" si="4"/>
        <v>7.2026925826254096E-4</v>
      </c>
      <c r="I25">
        <f t="shared" si="4"/>
        <v>1.2247631977077701E-3</v>
      </c>
      <c r="J25">
        <f t="shared" si="4"/>
        <v>1.0326933938485606E-3</v>
      </c>
      <c r="K25">
        <f t="shared" si="4"/>
        <v>1.3360046249054575E-3</v>
      </c>
      <c r="L25">
        <f t="shared" si="4"/>
        <v>1.4431233761028341E-3</v>
      </c>
      <c r="M25">
        <f t="shared" si="4"/>
        <v>9.3048322784681223E-4</v>
      </c>
      <c r="O25">
        <f t="shared" si="4"/>
        <v>1.103276253660256E-3</v>
      </c>
      <c r="Q25">
        <f t="shared" si="4"/>
        <v>1.2337183210024423E-3</v>
      </c>
      <c r="R25">
        <f t="shared" si="4"/>
        <v>3.9979666153387283E-4</v>
      </c>
      <c r="S25">
        <f t="shared" si="4"/>
        <v>1.3373995907721833E-3</v>
      </c>
      <c r="T25">
        <f t="shared" si="4"/>
        <v>1.3030923858537232E-3</v>
      </c>
      <c r="U25">
        <f t="shared" si="4"/>
        <v>1.5158733628934044E-3</v>
      </c>
      <c r="V25">
        <f t="shared" si="4"/>
        <v>1.4494340907925919E-3</v>
      </c>
      <c r="W25">
        <f t="shared" si="4"/>
        <v>1.2817226706698904E-3</v>
      </c>
      <c r="X25">
        <f t="shared" si="4"/>
        <v>1.8354809430154205E-3</v>
      </c>
      <c r="Y25">
        <f t="shared" si="4"/>
        <v>1.0665146753762E-3</v>
      </c>
      <c r="Z25">
        <f t="shared" si="4"/>
        <v>1.2766017445001844E-3</v>
      </c>
      <c r="AA25">
        <f t="shared" si="4"/>
        <v>9.0913475739620589E-4</v>
      </c>
      <c r="AB25">
        <f t="shared" si="4"/>
        <v>1.3036053790186533E-3</v>
      </c>
      <c r="AC25">
        <f t="shared" si="4"/>
        <v>8.3822532716003686E-4</v>
      </c>
      <c r="AD25">
        <f t="shared" si="4"/>
        <v>1.1228508988439683E-3</v>
      </c>
      <c r="AE25">
        <f t="shared" si="4"/>
        <v>7.9773019220889113E-4</v>
      </c>
      <c r="AF25">
        <f t="shared" si="4"/>
        <v>3.9319528960888694E-4</v>
      </c>
      <c r="AG25">
        <f t="shared" si="4"/>
        <v>1.1081847179409854E-3</v>
      </c>
      <c r="AH25">
        <f t="shared" si="4"/>
        <v>1.7744210230063136E-3</v>
      </c>
      <c r="AI25">
        <f t="shared" si="4"/>
        <v>1.7296591254034135E-3</v>
      </c>
      <c r="AJ25">
        <f t="shared" si="4"/>
        <v>1.7779064389045304E-3</v>
      </c>
      <c r="AK25">
        <f t="shared" si="4"/>
        <v>1.433165153071108E-3</v>
      </c>
      <c r="AL25">
        <f t="shared" si="4"/>
        <v>1.1884621214895595E-3</v>
      </c>
      <c r="AM25">
        <f t="shared" si="4"/>
        <v>1.2019955954539494E-3</v>
      </c>
      <c r="AN25">
        <f t="shared" si="4"/>
        <v>1.7079214063619188E-3</v>
      </c>
      <c r="AO25">
        <f t="shared" si="4"/>
        <v>1.3962737295440488E-3</v>
      </c>
      <c r="AP25">
        <f t="shared" si="4"/>
        <v>7.1035728860079095E-4</v>
      </c>
      <c r="AS25">
        <f t="shared" si="4"/>
        <v>1.3818117967612747E-3</v>
      </c>
      <c r="AT25">
        <f t="shared" si="4"/>
        <v>2.1912569899335411E-4</v>
      </c>
      <c r="AU25">
        <f t="shared" si="4"/>
        <v>1.6000999057450059E-3</v>
      </c>
      <c r="AV25">
        <f t="shared" si="4"/>
        <v>1.3348565719737712E-3</v>
      </c>
      <c r="AW25">
        <f t="shared" si="4"/>
        <v>9.1456343281189284E-4</v>
      </c>
    </row>
    <row r="26" spans="1:49" x14ac:dyDescent="0.2">
      <c r="B26" t="s">
        <v>151</v>
      </c>
      <c r="C26">
        <f t="shared" ref="C26:AW26" si="5">C7/C$20</f>
        <v>1.208019392395091E-2</v>
      </c>
      <c r="D26">
        <f t="shared" si="5"/>
        <v>1.1294826230414943E-2</v>
      </c>
      <c r="E26">
        <f t="shared" si="5"/>
        <v>1.484973074675458E-2</v>
      </c>
      <c r="F26">
        <f t="shared" si="5"/>
        <v>1.6966842551994543E-2</v>
      </c>
      <c r="G26">
        <f t="shared" si="5"/>
        <v>8.2855974819542409E-3</v>
      </c>
      <c r="H26">
        <f t="shared" si="5"/>
        <v>7.5064994223203122E-3</v>
      </c>
      <c r="I26">
        <f t="shared" si="5"/>
        <v>9.5354675276040912E-3</v>
      </c>
      <c r="J26">
        <f t="shared" si="5"/>
        <v>1.0581604607709323E-2</v>
      </c>
      <c r="K26">
        <f t="shared" si="5"/>
        <v>1.2814914298555274E-2</v>
      </c>
      <c r="L26">
        <f t="shared" si="5"/>
        <v>1.2421980980105652E-2</v>
      </c>
      <c r="M26">
        <f t="shared" si="5"/>
        <v>8.8300658515991434E-3</v>
      </c>
      <c r="O26">
        <f t="shared" si="5"/>
        <v>1.111274450857417E-2</v>
      </c>
      <c r="Q26">
        <f t="shared" si="5"/>
        <v>1.0934518184922923E-2</v>
      </c>
      <c r="R26">
        <f t="shared" si="5"/>
        <v>6.2128479852932078E-3</v>
      </c>
      <c r="S26">
        <f t="shared" si="5"/>
        <v>1.067703392627352E-2</v>
      </c>
      <c r="T26">
        <f t="shared" si="5"/>
        <v>9.9995341578449203E-3</v>
      </c>
      <c r="U26">
        <f t="shared" si="5"/>
        <v>1.3663254540181548E-2</v>
      </c>
      <c r="V26">
        <f t="shared" si="5"/>
        <v>1.2274996967718622E-2</v>
      </c>
      <c r="W26">
        <f t="shared" si="5"/>
        <v>1.0512699322910686E-2</v>
      </c>
      <c r="X26">
        <f t="shared" si="5"/>
        <v>1.1750081991085168E-2</v>
      </c>
      <c r="Y26">
        <f t="shared" si="5"/>
        <v>1.0924060937150747E-2</v>
      </c>
      <c r="Z26">
        <f t="shared" si="5"/>
        <v>1.0856802208221506E-2</v>
      </c>
      <c r="AA26">
        <f t="shared" si="5"/>
        <v>9.6486848023438643E-3</v>
      </c>
      <c r="AB26">
        <f t="shared" si="5"/>
        <v>1.2642920222071866E-2</v>
      </c>
      <c r="AC26">
        <f t="shared" si="5"/>
        <v>1.0186714076107261E-2</v>
      </c>
      <c r="AD26">
        <f t="shared" si="5"/>
        <v>1.133768579674436E-2</v>
      </c>
      <c r="AE26">
        <f t="shared" si="5"/>
        <v>8.2047838634745612E-3</v>
      </c>
      <c r="AF26">
        <f t="shared" si="5"/>
        <v>5.4464527489035122E-3</v>
      </c>
      <c r="AG26">
        <f t="shared" si="5"/>
        <v>9.2947713383680752E-3</v>
      </c>
      <c r="AH26">
        <f t="shared" si="5"/>
        <v>8.8808900599162167E-3</v>
      </c>
      <c r="AI26">
        <f t="shared" si="5"/>
        <v>1.1789225032486328E-2</v>
      </c>
      <c r="AJ26">
        <f t="shared" si="5"/>
        <v>1.4696589916925112E-2</v>
      </c>
      <c r="AK26">
        <f t="shared" si="5"/>
        <v>1.1660135994850261E-2</v>
      </c>
      <c r="AL26">
        <f t="shared" si="5"/>
        <v>6.3342564430062696E-3</v>
      </c>
      <c r="AM26">
        <f t="shared" si="5"/>
        <v>8.5650957517270834E-3</v>
      </c>
      <c r="AN26">
        <f t="shared" si="5"/>
        <v>1.3767798339148537E-2</v>
      </c>
      <c r="AO26">
        <f t="shared" si="5"/>
        <v>1.0069928387120208E-2</v>
      </c>
      <c r="AP26">
        <f t="shared" si="5"/>
        <v>1.018387457020555E-2</v>
      </c>
      <c r="AS26">
        <f t="shared" si="5"/>
        <v>1.0963699723635624E-2</v>
      </c>
      <c r="AT26">
        <f t="shared" si="5"/>
        <v>8.917990316385533E-3</v>
      </c>
      <c r="AU26">
        <f t="shared" si="5"/>
        <v>1.0884667841994823E-2</v>
      </c>
      <c r="AV26">
        <f t="shared" si="5"/>
        <v>1.4418945766220477E-2</v>
      </c>
      <c r="AW26">
        <f t="shared" si="5"/>
        <v>9.2030060087965292E-3</v>
      </c>
    </row>
    <row r="27" spans="1:49" x14ac:dyDescent="0.2">
      <c r="B27" t="s">
        <v>144</v>
      </c>
      <c r="C27">
        <f t="shared" ref="C27:AW27" si="6">C8/C$20</f>
        <v>6.3328555532910138E-3</v>
      </c>
      <c r="D27">
        <f t="shared" si="6"/>
        <v>5.8948816015800655E-3</v>
      </c>
      <c r="E27">
        <f t="shared" si="6"/>
        <v>7.0661520851723727E-3</v>
      </c>
      <c r="F27">
        <f t="shared" si="6"/>
        <v>5.3150519994956827E-3</v>
      </c>
      <c r="G27">
        <f t="shared" si="6"/>
        <v>3.4519823241621205E-3</v>
      </c>
      <c r="H27">
        <f t="shared" si="6"/>
        <v>1.8224001903861203E-3</v>
      </c>
      <c r="I27">
        <f t="shared" si="6"/>
        <v>6.5722054335781337E-3</v>
      </c>
      <c r="J27">
        <f t="shared" si="6"/>
        <v>6.2134251412922434E-3</v>
      </c>
      <c r="K27">
        <f t="shared" si="6"/>
        <v>6.3192526763651046E-3</v>
      </c>
      <c r="L27">
        <f t="shared" si="6"/>
        <v>6.1692276875313333E-3</v>
      </c>
      <c r="M27">
        <f t="shared" si="6"/>
        <v>4.3381159085933126E-3</v>
      </c>
      <c r="O27">
        <f t="shared" si="6"/>
        <v>4.7061292267632808E-3</v>
      </c>
      <c r="Q27">
        <f t="shared" si="6"/>
        <v>5.8233263757813715E-3</v>
      </c>
      <c r="R27">
        <f t="shared" si="6"/>
        <v>2.0693935065870667E-3</v>
      </c>
      <c r="S27">
        <f t="shared" si="6"/>
        <v>5.8614975836859791E-3</v>
      </c>
      <c r="T27">
        <f t="shared" si="6"/>
        <v>4.4798653708440989E-3</v>
      </c>
      <c r="U27">
        <f t="shared" si="6"/>
        <v>6.0221034929698733E-3</v>
      </c>
      <c r="V27">
        <f t="shared" si="6"/>
        <v>4.9405944539663666E-3</v>
      </c>
      <c r="W27">
        <f t="shared" si="6"/>
        <v>6.8392257430251093E-3</v>
      </c>
      <c r="X27">
        <f t="shared" si="6"/>
        <v>6.31908643161348E-3</v>
      </c>
      <c r="Y27">
        <f t="shared" si="6"/>
        <v>6.5243482436338996E-3</v>
      </c>
      <c r="Z27">
        <f t="shared" si="6"/>
        <v>5.7383148427708709E-3</v>
      </c>
      <c r="AA27">
        <f t="shared" si="6"/>
        <v>4.6742808937311588E-3</v>
      </c>
      <c r="AB27">
        <f t="shared" si="6"/>
        <v>5.1073525677184052E-3</v>
      </c>
      <c r="AC27">
        <f t="shared" si="6"/>
        <v>5.5497587028713333E-3</v>
      </c>
      <c r="AD27">
        <f t="shared" si="6"/>
        <v>5.9067341512788751E-3</v>
      </c>
      <c r="AE27">
        <f t="shared" si="6"/>
        <v>3.6369074361092624E-3</v>
      </c>
      <c r="AF27">
        <f t="shared" si="6"/>
        <v>1.8887058217714925E-3</v>
      </c>
      <c r="AG27">
        <f t="shared" si="6"/>
        <v>6.0307355826160446E-3</v>
      </c>
      <c r="AH27">
        <f t="shared" si="6"/>
        <v>6.2284011903048341E-3</v>
      </c>
      <c r="AI27">
        <f t="shared" si="6"/>
        <v>8.3407791680478634E-3</v>
      </c>
      <c r="AJ27">
        <f t="shared" si="6"/>
        <v>6.6700295332876901E-3</v>
      </c>
      <c r="AK27">
        <f t="shared" si="6"/>
        <v>7.0990179385839926E-3</v>
      </c>
      <c r="AL27">
        <f t="shared" si="6"/>
        <v>3.0494327926216978E-3</v>
      </c>
      <c r="AM27">
        <f t="shared" si="6"/>
        <v>5.4686954327031268E-3</v>
      </c>
      <c r="AN27">
        <f t="shared" si="6"/>
        <v>7.1320500152514624E-3</v>
      </c>
      <c r="AO27">
        <f t="shared" si="6"/>
        <v>5.3731435858678728E-3</v>
      </c>
      <c r="AP27">
        <f t="shared" si="6"/>
        <v>2.6365156377010134E-3</v>
      </c>
      <c r="AS27">
        <f t="shared" si="6"/>
        <v>6.4679382302468636E-3</v>
      </c>
      <c r="AT27">
        <f t="shared" si="6"/>
        <v>3.640778627823854E-3</v>
      </c>
      <c r="AU27">
        <f t="shared" si="6"/>
        <v>7.282539389443482E-3</v>
      </c>
      <c r="AV27">
        <f t="shared" si="6"/>
        <v>6.6356999805244187E-3</v>
      </c>
      <c r="AW27">
        <f t="shared" si="6"/>
        <v>4.5832741302749566E-3</v>
      </c>
    </row>
    <row r="28" spans="1:49" x14ac:dyDescent="0.2">
      <c r="B28" t="s">
        <v>152</v>
      </c>
      <c r="C28">
        <f t="shared" ref="C28:AW28" si="7">C9/C$20</f>
        <v>9.1110490984048567E-3</v>
      </c>
      <c r="D28">
        <f t="shared" si="7"/>
        <v>8.9263230071902969E-3</v>
      </c>
      <c r="E28">
        <f t="shared" si="7"/>
        <v>1.4550925438569708E-2</v>
      </c>
      <c r="F28">
        <f t="shared" si="7"/>
        <v>1.3399807898861313E-2</v>
      </c>
      <c r="G28">
        <f t="shared" si="7"/>
        <v>6.6079630308554559E-3</v>
      </c>
      <c r="H28">
        <f t="shared" si="7"/>
        <v>4.2901423847065438E-3</v>
      </c>
      <c r="I28">
        <f t="shared" si="7"/>
        <v>8.3036962038984617E-3</v>
      </c>
      <c r="J28">
        <f t="shared" si="7"/>
        <v>1.1333890328339402E-2</v>
      </c>
      <c r="K28">
        <f t="shared" si="7"/>
        <v>8.9915072215675327E-3</v>
      </c>
      <c r="L28">
        <f t="shared" si="7"/>
        <v>1.1345887951740106E-2</v>
      </c>
      <c r="M28">
        <f t="shared" si="7"/>
        <v>8.1708397606486266E-3</v>
      </c>
      <c r="O28">
        <f t="shared" si="7"/>
        <v>9.7249425800828154E-3</v>
      </c>
      <c r="Q28">
        <f t="shared" si="7"/>
        <v>8.9740422192051764E-3</v>
      </c>
      <c r="R28">
        <f t="shared" si="7"/>
        <v>4.2106805467913393E-3</v>
      </c>
      <c r="S28">
        <f t="shared" si="7"/>
        <v>8.1008216901488107E-3</v>
      </c>
      <c r="T28">
        <f t="shared" si="7"/>
        <v>9.0399678588085966E-3</v>
      </c>
      <c r="U28">
        <f t="shared" si="7"/>
        <v>9.3225549718733095E-3</v>
      </c>
      <c r="V28">
        <f t="shared" si="7"/>
        <v>1.1658681769390765E-2</v>
      </c>
      <c r="W28">
        <f t="shared" si="7"/>
        <v>9.99450424752657E-3</v>
      </c>
      <c r="X28">
        <f t="shared" si="7"/>
        <v>9.6932665642594021E-3</v>
      </c>
      <c r="Y28">
        <f t="shared" si="7"/>
        <v>1.1651566674581235E-2</v>
      </c>
      <c r="Z28">
        <f t="shared" si="7"/>
        <v>9.0487248841030418E-3</v>
      </c>
      <c r="AA28">
        <f t="shared" si="7"/>
        <v>7.3083158317814693E-3</v>
      </c>
      <c r="AB28">
        <f t="shared" si="7"/>
        <v>9.9555462094407139E-3</v>
      </c>
      <c r="AC28">
        <f t="shared" si="7"/>
        <v>9.1712009808864701E-3</v>
      </c>
      <c r="AD28">
        <f t="shared" si="7"/>
        <v>9.2572453637932671E-3</v>
      </c>
      <c r="AE28">
        <f t="shared" si="7"/>
        <v>6.416080173497654E-3</v>
      </c>
      <c r="AF28">
        <f t="shared" si="7"/>
        <v>4.5213422465601658E-3</v>
      </c>
      <c r="AG28">
        <f t="shared" si="7"/>
        <v>8.3109247356484266E-3</v>
      </c>
      <c r="AH28">
        <f t="shared" si="7"/>
        <v>8.9201777339437266E-3</v>
      </c>
      <c r="AI28">
        <f t="shared" si="7"/>
        <v>1.2779317463592673E-2</v>
      </c>
      <c r="AJ28">
        <f t="shared" si="7"/>
        <v>1.0729984156759773E-2</v>
      </c>
      <c r="AK28">
        <f t="shared" si="7"/>
        <v>1.0191049979596566E-2</v>
      </c>
      <c r="AL28">
        <f t="shared" si="7"/>
        <v>5.502562531009089E-3</v>
      </c>
      <c r="AM28">
        <f t="shared" si="7"/>
        <v>7.9917777979528863E-3</v>
      </c>
      <c r="AN28">
        <f t="shared" si="7"/>
        <v>1.3638727768395559E-2</v>
      </c>
      <c r="AO28">
        <f t="shared" si="7"/>
        <v>7.197672833570961E-3</v>
      </c>
      <c r="AP28">
        <f t="shared" si="7"/>
        <v>5.1756654628150427E-3</v>
      </c>
      <c r="AS28">
        <f t="shared" si="7"/>
        <v>9.8937011754336272E-3</v>
      </c>
      <c r="AT28">
        <f t="shared" si="7"/>
        <v>4.4210477409248371E-3</v>
      </c>
      <c r="AU28">
        <f t="shared" si="7"/>
        <v>1.4284702480161717E-2</v>
      </c>
      <c r="AV28">
        <f t="shared" si="7"/>
        <v>1.4933666435285299E-2</v>
      </c>
      <c r="AW28">
        <f t="shared" si="7"/>
        <v>8.8817604398505421E-3</v>
      </c>
    </row>
    <row r="29" spans="1:49" x14ac:dyDescent="0.2">
      <c r="B29" t="s">
        <v>145</v>
      </c>
      <c r="C29">
        <f t="shared" ref="C29:AW29" si="8">C10/C$20</f>
        <v>7.0457271264220177E-3</v>
      </c>
      <c r="D29">
        <f t="shared" si="8"/>
        <v>5.6509144217942817E-3</v>
      </c>
      <c r="E29">
        <f t="shared" si="8"/>
        <v>9.1046005951251705E-3</v>
      </c>
      <c r="F29">
        <f t="shared" si="8"/>
        <v>8.2005923081265308E-3</v>
      </c>
      <c r="G29">
        <f t="shared" si="8"/>
        <v>3.9908264965538088E-3</v>
      </c>
      <c r="H29">
        <f t="shared" si="8"/>
        <v>2.1389268693873804E-3</v>
      </c>
      <c r="I29">
        <f t="shared" si="8"/>
        <v>5.9506124618457067E-3</v>
      </c>
      <c r="J29">
        <f t="shared" si="8"/>
        <v>5.3713587318491313E-3</v>
      </c>
      <c r="K29">
        <f t="shared" si="8"/>
        <v>5.8571100832524436E-3</v>
      </c>
      <c r="L29">
        <f t="shared" si="8"/>
        <v>7.6627774140854803E-3</v>
      </c>
      <c r="M29">
        <f t="shared" si="8"/>
        <v>4.4123662100721888E-3</v>
      </c>
      <c r="O29">
        <f t="shared" si="8"/>
        <v>5.839132800072277E-3</v>
      </c>
      <c r="Q29">
        <f t="shared" si="8"/>
        <v>8.1004382526908211E-3</v>
      </c>
      <c r="R29">
        <f t="shared" si="8"/>
        <v>2.0777914148125709E-3</v>
      </c>
      <c r="S29">
        <f t="shared" si="8"/>
        <v>5.0755261360688449E-3</v>
      </c>
      <c r="T29">
        <f t="shared" si="8"/>
        <v>4.5766465237647254E-3</v>
      </c>
      <c r="U29">
        <f t="shared" si="8"/>
        <v>7.5563400137576685E-3</v>
      </c>
      <c r="V29">
        <f t="shared" si="8"/>
        <v>6.3007978677195016E-3</v>
      </c>
      <c r="W29">
        <f t="shared" si="8"/>
        <v>8.1881651039699931E-3</v>
      </c>
      <c r="X29">
        <f t="shared" si="8"/>
        <v>6.7494644414950924E-3</v>
      </c>
      <c r="Y29">
        <f t="shared" si="8"/>
        <v>8.3953260289973304E-3</v>
      </c>
      <c r="Z29">
        <f t="shared" si="8"/>
        <v>5.2918159594839741E-3</v>
      </c>
      <c r="AA29">
        <f t="shared" si="8"/>
        <v>3.5064611682790398E-3</v>
      </c>
      <c r="AB29">
        <f t="shared" si="8"/>
        <v>5.483481339775294E-3</v>
      </c>
      <c r="AC29">
        <f t="shared" si="8"/>
        <v>5.3070810733582266E-3</v>
      </c>
      <c r="AD29">
        <f t="shared" si="8"/>
        <v>5.2737296523045936E-3</v>
      </c>
      <c r="AE29">
        <f t="shared" si="8"/>
        <v>4.4564802187325274E-3</v>
      </c>
      <c r="AF29">
        <f t="shared" si="8"/>
        <v>2.6658747098993545E-3</v>
      </c>
      <c r="AG29">
        <f t="shared" si="8"/>
        <v>5.1922296238259514E-3</v>
      </c>
      <c r="AH29">
        <f t="shared" si="8"/>
        <v>6.8464298231340594E-3</v>
      </c>
      <c r="AI29">
        <f t="shared" si="8"/>
        <v>9.4914837317594744E-3</v>
      </c>
      <c r="AJ29">
        <f t="shared" si="8"/>
        <v>7.2121384042554146E-3</v>
      </c>
      <c r="AK29">
        <f t="shared" si="8"/>
        <v>7.2754018707954409E-3</v>
      </c>
      <c r="AL29">
        <f t="shared" si="8"/>
        <v>2.3062043289509321E-3</v>
      </c>
      <c r="AM29">
        <f t="shared" si="8"/>
        <v>6.5932554296930053E-3</v>
      </c>
      <c r="AN29">
        <f t="shared" si="8"/>
        <v>1.0226308414393247E-2</v>
      </c>
      <c r="AO29">
        <f t="shared" si="8"/>
        <v>5.5734245568312638E-3</v>
      </c>
      <c r="AP29">
        <f t="shared" si="8"/>
        <v>2.607162881358936E-3</v>
      </c>
      <c r="AS29">
        <f t="shared" si="8"/>
        <v>6.7338712998692048E-3</v>
      </c>
      <c r="AT29">
        <f t="shared" si="8"/>
        <v>3.1645624408789632E-3</v>
      </c>
      <c r="AU29">
        <f t="shared" si="8"/>
        <v>1.1310827518596037E-2</v>
      </c>
      <c r="AV29">
        <f t="shared" si="8"/>
        <v>1.0293522870506191E-2</v>
      </c>
      <c r="AW29">
        <f t="shared" si="8"/>
        <v>5.8480606813281809E-3</v>
      </c>
    </row>
    <row r="31" spans="1:49" x14ac:dyDescent="0.2">
      <c r="B31" s="1" t="s">
        <v>42</v>
      </c>
      <c r="C31" s="1"/>
      <c r="D31" s="1"/>
      <c r="E31" s="1"/>
    </row>
    <row r="32" spans="1:49" x14ac:dyDescent="0.2">
      <c r="C32" t="s">
        <v>46</v>
      </c>
      <c r="D32" t="s">
        <v>47</v>
      </c>
      <c r="E32" t="s">
        <v>48</v>
      </c>
      <c r="F32" t="s">
        <v>49</v>
      </c>
      <c r="G32" t="s">
        <v>50</v>
      </c>
      <c r="H32" t="s">
        <v>51</v>
      </c>
      <c r="I32" t="s">
        <v>52</v>
      </c>
      <c r="J32" t="s">
        <v>53</v>
      </c>
      <c r="K32" t="s">
        <v>54</v>
      </c>
      <c r="L32" t="s">
        <v>55</v>
      </c>
      <c r="M32" t="s">
        <v>56</v>
      </c>
      <c r="O32" t="s">
        <v>57</v>
      </c>
      <c r="Q32" t="s">
        <v>58</v>
      </c>
      <c r="R32" t="s">
        <v>59</v>
      </c>
      <c r="S32" t="s">
        <v>60</v>
      </c>
      <c r="T32" t="s">
        <v>61</v>
      </c>
      <c r="U32" t="s">
        <v>62</v>
      </c>
      <c r="V32" t="s">
        <v>63</v>
      </c>
      <c r="W32" t="s">
        <v>64</v>
      </c>
      <c r="X32" t="s">
        <v>65</v>
      </c>
      <c r="Y32" t="s">
        <v>66</v>
      </c>
      <c r="Z32" t="s">
        <v>67</v>
      </c>
      <c r="AA32" t="s">
        <v>68</v>
      </c>
      <c r="AB32" t="s">
        <v>69</v>
      </c>
      <c r="AC32" t="s">
        <v>70</v>
      </c>
      <c r="AD32" t="s">
        <v>71</v>
      </c>
      <c r="AE32" t="s">
        <v>72</v>
      </c>
      <c r="AF32" t="s">
        <v>73</v>
      </c>
      <c r="AG32" t="s">
        <v>74</v>
      </c>
      <c r="AH32" t="s">
        <v>75</v>
      </c>
      <c r="AI32" t="s">
        <v>76</v>
      </c>
      <c r="AJ32" t="s">
        <v>77</v>
      </c>
      <c r="AK32" t="s">
        <v>78</v>
      </c>
      <c r="AL32" t="s">
        <v>79</v>
      </c>
      <c r="AM32" t="s">
        <v>80</v>
      </c>
      <c r="AN32" t="s">
        <v>81</v>
      </c>
      <c r="AO32" t="s">
        <v>82</v>
      </c>
      <c r="AP32" t="s">
        <v>83</v>
      </c>
      <c r="AS32" t="s">
        <v>84</v>
      </c>
      <c r="AT32" t="s">
        <v>85</v>
      </c>
      <c r="AU32" t="s">
        <v>86</v>
      </c>
      <c r="AV32" t="s">
        <v>87</v>
      </c>
      <c r="AW32" t="s">
        <v>88</v>
      </c>
    </row>
    <row r="33" spans="1:49" x14ac:dyDescent="0.2">
      <c r="A33" t="s">
        <v>161</v>
      </c>
      <c r="B33" t="s">
        <v>89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O33" t="s">
        <v>4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  <c r="W33" t="s">
        <v>4</v>
      </c>
      <c r="X33" t="s">
        <v>4</v>
      </c>
      <c r="Y33" t="s">
        <v>4</v>
      </c>
      <c r="Z33" t="s">
        <v>4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3</v>
      </c>
      <c r="AN33" t="s">
        <v>3</v>
      </c>
      <c r="AO33" t="s">
        <v>3</v>
      </c>
      <c r="AP33" t="s">
        <v>3</v>
      </c>
      <c r="AS33" t="s">
        <v>3</v>
      </c>
      <c r="AT33" t="s">
        <v>3</v>
      </c>
      <c r="AU33" t="s">
        <v>3</v>
      </c>
      <c r="AV33" t="s">
        <v>3</v>
      </c>
      <c r="AW33" t="s">
        <v>3</v>
      </c>
    </row>
    <row r="34" spans="1:49" x14ac:dyDescent="0.2">
      <c r="A34" t="s">
        <v>162</v>
      </c>
      <c r="B34" t="s">
        <v>141</v>
      </c>
      <c r="C34">
        <v>0.2994258794490483</v>
      </c>
      <c r="D34">
        <v>0.42536539157345243</v>
      </c>
      <c r="E34">
        <v>0.52465151884118255</v>
      </c>
      <c r="F34">
        <v>3.7464465675921745E-2</v>
      </c>
      <c r="G34">
        <v>1.1427143975071878</v>
      </c>
      <c r="H34">
        <v>1.2108302995018392</v>
      </c>
      <c r="I34">
        <v>0.81664561583657136</v>
      </c>
      <c r="J34">
        <v>0.72830259598398162</v>
      </c>
      <c r="K34">
        <v>0.35450339560012856</v>
      </c>
      <c r="L34">
        <v>0.56701133666572601</v>
      </c>
      <c r="M34">
        <v>0.63778956437231737</v>
      </c>
      <c r="O34">
        <v>0.70817114788044466</v>
      </c>
      <c r="Q34">
        <v>0.40255360199059492</v>
      </c>
      <c r="R34">
        <v>3.3342953347596631</v>
      </c>
      <c r="S34">
        <v>0.94693924467583657</v>
      </c>
      <c r="T34">
        <v>0.89056998023996858</v>
      </c>
      <c r="U34">
        <v>0.30849126687650086</v>
      </c>
      <c r="V34">
        <v>0.48521846147161135</v>
      </c>
      <c r="W34">
        <v>0.27909273503321952</v>
      </c>
      <c r="X34">
        <v>0.41938074475123693</v>
      </c>
      <c r="Y34">
        <v>0.23822328609632565</v>
      </c>
      <c r="Z34">
        <v>0</v>
      </c>
      <c r="AA34">
        <v>0.594496101965035</v>
      </c>
      <c r="AB34">
        <v>1.1137504890376135</v>
      </c>
      <c r="AC34">
        <v>1.4031057848174429</v>
      </c>
      <c r="AD34">
        <v>0.43357919036082576</v>
      </c>
      <c r="AE34">
        <v>0.77133244901979792</v>
      </c>
      <c r="AF34">
        <v>2.8307739115822268</v>
      </c>
      <c r="AG34">
        <v>0.90338816071034644</v>
      </c>
      <c r="AH34">
        <v>1.1070713614241854</v>
      </c>
      <c r="AI34">
        <v>0.43515133107557169</v>
      </c>
      <c r="AJ34">
        <v>0.4141174670658288</v>
      </c>
      <c r="AK34">
        <v>0.79768997622517057</v>
      </c>
      <c r="AL34">
        <v>1.3571283107417955</v>
      </c>
      <c r="AM34">
        <v>0.19460093876656079</v>
      </c>
      <c r="AN34">
        <v>0.22907015303991818</v>
      </c>
      <c r="AO34">
        <v>0.44759582508999096</v>
      </c>
      <c r="AP34">
        <v>2.096996639194761</v>
      </c>
      <c r="AS34">
        <v>0.72704854876767533</v>
      </c>
      <c r="AT34">
        <v>1.7898377951544278</v>
      </c>
      <c r="AU34">
        <v>0.11996890885392238</v>
      </c>
      <c r="AV34">
        <v>0.43918446785274468</v>
      </c>
      <c r="AW34">
        <v>0.57072606605262188</v>
      </c>
    </row>
    <row r="35" spans="1:49" x14ac:dyDescent="0.2">
      <c r="A35" t="s">
        <v>162</v>
      </c>
      <c r="B35" t="s">
        <v>142</v>
      </c>
      <c r="C35">
        <v>9.3473146780078498</v>
      </c>
      <c r="D35">
        <v>12.877514882038332</v>
      </c>
      <c r="E35">
        <v>13.179562726261453</v>
      </c>
      <c r="F35">
        <v>2.947675637478659</v>
      </c>
      <c r="G35">
        <v>19.112155227843942</v>
      </c>
      <c r="H35">
        <v>31.90539074852262</v>
      </c>
      <c r="I35">
        <v>15.802076645059174</v>
      </c>
      <c r="J35">
        <v>17.797421333598432</v>
      </c>
      <c r="K35">
        <v>11.927886639558245</v>
      </c>
      <c r="L35">
        <v>9.300039348112314</v>
      </c>
      <c r="M35">
        <v>13.746756959427781</v>
      </c>
      <c r="O35">
        <v>6.9328308215167196</v>
      </c>
      <c r="Q35">
        <v>8.1828558172287558</v>
      </c>
      <c r="R35">
        <v>51.618372322698939</v>
      </c>
      <c r="S35">
        <v>13.112609157155372</v>
      </c>
      <c r="T35">
        <v>10.510302837129105</v>
      </c>
      <c r="U35">
        <v>8.8000230388043654</v>
      </c>
      <c r="V35">
        <v>7.8000066302751145</v>
      </c>
      <c r="W35">
        <v>5.6767131696633752</v>
      </c>
      <c r="X35">
        <v>6.1220975898584005</v>
      </c>
      <c r="Y35">
        <v>5.9399241772302389</v>
      </c>
      <c r="Z35">
        <v>11.007677064306632</v>
      </c>
      <c r="AA35">
        <v>16.399616602872243</v>
      </c>
      <c r="AB35">
        <v>13.605042437719941</v>
      </c>
      <c r="AC35">
        <v>10.095820732900453</v>
      </c>
      <c r="AD35">
        <v>8.2084137196571856</v>
      </c>
      <c r="AE35">
        <v>12.846966603311699</v>
      </c>
      <c r="AF35">
        <v>33.775658468928519</v>
      </c>
      <c r="AG35">
        <v>11.420381194350743</v>
      </c>
      <c r="AH35">
        <v>11.61188523840716</v>
      </c>
      <c r="AI35">
        <v>6.2208699045727514</v>
      </c>
      <c r="AJ35">
        <v>11.323399942397188</v>
      </c>
      <c r="AK35">
        <v>14.679832747600061</v>
      </c>
      <c r="AL35">
        <v>25.072389805980045</v>
      </c>
      <c r="AM35">
        <v>7.8190535368897001</v>
      </c>
      <c r="AN35">
        <v>4.3302130913915677</v>
      </c>
      <c r="AO35">
        <v>10.309890723751348</v>
      </c>
      <c r="AP35">
        <v>34.005294846550825</v>
      </c>
      <c r="AS35">
        <v>11.22871059368117</v>
      </c>
      <c r="AT35">
        <v>43.598159305759772</v>
      </c>
      <c r="AU35">
        <v>4.6342257856506137</v>
      </c>
      <c r="AV35">
        <v>4.78751997855999</v>
      </c>
      <c r="AW35">
        <v>7.743512775662615</v>
      </c>
    </row>
    <row r="36" spans="1:49" x14ac:dyDescent="0.2">
      <c r="A36" t="s">
        <v>162</v>
      </c>
      <c r="B36" t="s">
        <v>143</v>
      </c>
      <c r="C36">
        <v>0.30552624468138034</v>
      </c>
      <c r="D36">
        <v>0.3724849591826398</v>
      </c>
      <c r="E36">
        <v>0.35954575782544074</v>
      </c>
      <c r="F36">
        <v>0.34618900261659857</v>
      </c>
      <c r="G36">
        <v>0.34753291840898681</v>
      </c>
      <c r="H36">
        <v>0.34869541056077935</v>
      </c>
      <c r="I36">
        <v>0.32169060370716512</v>
      </c>
      <c r="J36">
        <v>0.32461432478157254</v>
      </c>
      <c r="K36">
        <v>0.36116064227265182</v>
      </c>
      <c r="L36">
        <v>0.42508831804004243</v>
      </c>
      <c r="M36">
        <v>0.29174302319315593</v>
      </c>
      <c r="O36">
        <v>0.3087819638879265</v>
      </c>
      <c r="Q36">
        <v>0.29760359528964664</v>
      </c>
      <c r="R36">
        <v>0.24895830954634771</v>
      </c>
      <c r="S36">
        <v>0.53001385990490346</v>
      </c>
      <c r="T36">
        <v>0.36062826154510264</v>
      </c>
      <c r="U36">
        <v>0.32697412174577661</v>
      </c>
      <c r="V36">
        <v>0.32575639178860061</v>
      </c>
      <c r="W36">
        <v>0.34907293502759396</v>
      </c>
      <c r="X36">
        <v>0.39487464492859481</v>
      </c>
      <c r="Y36">
        <v>0.27232947869590413</v>
      </c>
      <c r="Z36">
        <v>0.32490568549003923</v>
      </c>
      <c r="AA36">
        <v>0.32880221378403773</v>
      </c>
      <c r="AB36">
        <v>0.41714746709312717</v>
      </c>
      <c r="AC36">
        <v>0.2348199459273744</v>
      </c>
      <c r="AD36">
        <v>0.32907296326235075</v>
      </c>
      <c r="AE36">
        <v>0.30065295408434206</v>
      </c>
      <c r="AF36">
        <v>0.29686913438710683</v>
      </c>
      <c r="AG36">
        <v>0.31824949735489283</v>
      </c>
      <c r="AH36">
        <v>0.40219414841122714</v>
      </c>
      <c r="AI36">
        <v>0.32243418121582562</v>
      </c>
      <c r="AJ36">
        <v>0.3799304621959847</v>
      </c>
      <c r="AK36">
        <v>0.38909697884013988</v>
      </c>
      <c r="AL36">
        <v>0.56125554068677097</v>
      </c>
      <c r="AM36">
        <v>0.3117099203093755</v>
      </c>
      <c r="AN36">
        <v>0.3224434629116012</v>
      </c>
      <c r="AO36">
        <v>0.3647838808564472</v>
      </c>
      <c r="AP36">
        <v>0.42004801407260189</v>
      </c>
      <c r="AS36">
        <v>0.32804951244577002</v>
      </c>
      <c r="AT36">
        <v>0.15463888323757538</v>
      </c>
      <c r="AU36">
        <v>0.30832897827471434</v>
      </c>
      <c r="AV36">
        <v>0.32034154079193072</v>
      </c>
      <c r="AW36">
        <v>0.2795934497525952</v>
      </c>
    </row>
    <row r="37" spans="1:49" x14ac:dyDescent="0.2">
      <c r="A37" t="s">
        <v>162</v>
      </c>
      <c r="B37" t="s">
        <v>151</v>
      </c>
      <c r="C37">
        <v>2.6349570207619673</v>
      </c>
      <c r="D37">
        <v>3.1474889081595694</v>
      </c>
      <c r="E37">
        <v>2.6012663644821443</v>
      </c>
      <c r="F37">
        <v>4.3269624460951164</v>
      </c>
      <c r="G37">
        <v>3.1002679253771603</v>
      </c>
      <c r="H37">
        <v>3.634032506474338</v>
      </c>
      <c r="I37">
        <v>2.5045415402144791</v>
      </c>
      <c r="J37">
        <v>3.3261958053552303</v>
      </c>
      <c r="K37">
        <v>3.4642415096899315</v>
      </c>
      <c r="L37">
        <v>3.6590350409390329</v>
      </c>
      <c r="M37">
        <v>2.7685723175273553</v>
      </c>
      <c r="O37">
        <v>3.1102047761457352</v>
      </c>
      <c r="Q37">
        <v>2.6376782035213377</v>
      </c>
      <c r="R37">
        <v>3.8688170280180825</v>
      </c>
      <c r="S37">
        <v>4.231327721831045</v>
      </c>
      <c r="T37">
        <v>2.7673514623768858</v>
      </c>
      <c r="U37">
        <v>2.9471661438377099</v>
      </c>
      <c r="V37">
        <v>2.7587723697277267</v>
      </c>
      <c r="W37">
        <v>2.8630989305924275</v>
      </c>
      <c r="X37">
        <v>2.5278439810380813</v>
      </c>
      <c r="Y37">
        <v>2.7894072992546284</v>
      </c>
      <c r="Z37">
        <v>2.7631458118311154</v>
      </c>
      <c r="AA37">
        <v>3.4895915014856995</v>
      </c>
      <c r="AB37">
        <v>4.0456738152369125</v>
      </c>
      <c r="AC37">
        <v>2.8537000386680433</v>
      </c>
      <c r="AD37">
        <v>3.3227259874960327</v>
      </c>
      <c r="AE37">
        <v>3.0922641894080662</v>
      </c>
      <c r="AF37">
        <v>4.1121645039430286</v>
      </c>
      <c r="AG37">
        <v>2.669280904685631</v>
      </c>
      <c r="AH37">
        <v>2.0129619568698187</v>
      </c>
      <c r="AI37">
        <v>2.1976868532591749</v>
      </c>
      <c r="AJ37">
        <v>3.1405939467110717</v>
      </c>
      <c r="AK37">
        <v>3.165667040354212</v>
      </c>
      <c r="AL37">
        <v>2.9913755436414879</v>
      </c>
      <c r="AM37">
        <v>2.2211606467698624</v>
      </c>
      <c r="AN37">
        <v>2.5992627978122105</v>
      </c>
      <c r="AO37">
        <v>2.630821936469248</v>
      </c>
      <c r="AP37">
        <v>6.0219221473819768</v>
      </c>
      <c r="AS37">
        <v>2.6028409638493293</v>
      </c>
      <c r="AT37">
        <v>6.2935021751656626</v>
      </c>
      <c r="AU37">
        <v>2.097405607320078</v>
      </c>
      <c r="AV37">
        <v>3.4602873449666123</v>
      </c>
      <c r="AW37">
        <v>2.8134737359683162</v>
      </c>
    </row>
    <row r="38" spans="1:49" x14ac:dyDescent="0.2">
      <c r="A38" t="s">
        <v>162</v>
      </c>
      <c r="B38" t="s">
        <v>144</v>
      </c>
      <c r="C38">
        <v>1.381335623141887</v>
      </c>
      <c r="D38">
        <v>1.6427056138255918</v>
      </c>
      <c r="E38">
        <v>1.2377964327394575</v>
      </c>
      <c r="F38">
        <v>1.3554690762517292</v>
      </c>
      <c r="G38">
        <v>1.2916473557733745</v>
      </c>
      <c r="H38">
        <v>0.88225698279226294</v>
      </c>
      <c r="I38">
        <v>1.7262249041873279</v>
      </c>
      <c r="J38">
        <v>1.9531129169953874</v>
      </c>
      <c r="K38">
        <v>1.7082765379204432</v>
      </c>
      <c r="L38">
        <v>1.8172158144792487</v>
      </c>
      <c r="M38">
        <v>1.3601696540667778</v>
      </c>
      <c r="O38">
        <v>1.3171386768538431</v>
      </c>
      <c r="Q38">
        <v>1.4047314013861785</v>
      </c>
      <c r="R38">
        <v>1.2886368465647009</v>
      </c>
      <c r="S38">
        <v>2.3229220201562564</v>
      </c>
      <c r="T38">
        <v>1.2397939533544073</v>
      </c>
      <c r="U38">
        <v>1.2989686664310507</v>
      </c>
      <c r="V38">
        <v>1.1103852412735598</v>
      </c>
      <c r="W38">
        <v>1.8626405368848529</v>
      </c>
      <c r="X38">
        <v>1.3594513309722285</v>
      </c>
      <c r="Y38">
        <v>1.6659614696746887</v>
      </c>
      <c r="Z38">
        <v>1.460448511511389</v>
      </c>
      <c r="AA38">
        <v>1.6905237570159688</v>
      </c>
      <c r="AB38">
        <v>1.6343283185737962</v>
      </c>
      <c r="AC38">
        <v>1.5547061109851334</v>
      </c>
      <c r="AD38">
        <v>1.7310815820385868</v>
      </c>
      <c r="AE38">
        <v>1.3706977309832515</v>
      </c>
      <c r="AF38">
        <v>1.4260050342386386</v>
      </c>
      <c r="AG38">
        <v>1.7319121413385445</v>
      </c>
      <c r="AH38">
        <v>1.4117430306669743</v>
      </c>
      <c r="AI38">
        <v>1.5548452653202882</v>
      </c>
      <c r="AJ38">
        <v>1.4253547588276314</v>
      </c>
      <c r="AK38">
        <v>1.9273469123330964</v>
      </c>
      <c r="AL38">
        <v>1.4401056793175184</v>
      </c>
      <c r="AM38">
        <v>1.4181804192721317</v>
      </c>
      <c r="AN38">
        <v>1.3464805207137871</v>
      </c>
      <c r="AO38">
        <v>1.4037621192599941</v>
      </c>
      <c r="AP38">
        <v>1.5590227276601454</v>
      </c>
      <c r="AS38">
        <v>1.5355231355926893</v>
      </c>
      <c r="AT38">
        <v>2.5693286716634196</v>
      </c>
      <c r="AU38">
        <v>1.4032985822513406</v>
      </c>
      <c r="AV38">
        <v>1.592448507670789</v>
      </c>
      <c r="AW38">
        <v>1.4011640737761373</v>
      </c>
    </row>
    <row r="39" spans="1:49" x14ac:dyDescent="0.2">
      <c r="A39" t="s">
        <v>162</v>
      </c>
      <c r="B39" t="s">
        <v>152</v>
      </c>
      <c r="C39">
        <v>1.98732097675607</v>
      </c>
      <c r="D39">
        <v>2.4874665694391012</v>
      </c>
      <c r="E39">
        <v>2.548923853296889</v>
      </c>
      <c r="F39">
        <v>3.4172808161319144</v>
      </c>
      <c r="G39">
        <v>2.47253814601277</v>
      </c>
      <c r="H39">
        <v>2.0769357334617333</v>
      </c>
      <c r="I39">
        <v>2.181010214735688</v>
      </c>
      <c r="J39">
        <v>3.5626674654818395</v>
      </c>
      <c r="K39">
        <v>2.4306641328957364</v>
      </c>
      <c r="L39">
        <v>3.342059664434613</v>
      </c>
      <c r="M39">
        <v>2.5618790564497109</v>
      </c>
      <c r="O39">
        <v>2.7217905385100423</v>
      </c>
      <c r="Q39">
        <v>2.1647625582365433</v>
      </c>
      <c r="R39">
        <v>2.6220426827652408</v>
      </c>
      <c r="S39">
        <v>3.2103701855614748</v>
      </c>
      <c r="T39">
        <v>2.5017933714729743</v>
      </c>
      <c r="U39">
        <v>2.010876567246171</v>
      </c>
      <c r="V39">
        <v>2.6202571957800984</v>
      </c>
      <c r="W39">
        <v>2.721970213733079</v>
      </c>
      <c r="X39">
        <v>2.0853527285725648</v>
      </c>
      <c r="Y39">
        <v>2.9751724488554432</v>
      </c>
      <c r="Z39">
        <v>2.3029752026786849</v>
      </c>
      <c r="AA39">
        <v>2.6431619789842022</v>
      </c>
      <c r="AB39">
        <v>3.1857270241728215</v>
      </c>
      <c r="AC39">
        <v>2.56921480256069</v>
      </c>
      <c r="AD39">
        <v>2.7130130693633836</v>
      </c>
      <c r="AE39">
        <v>2.4181276785609263</v>
      </c>
      <c r="AF39">
        <v>3.4136903327079837</v>
      </c>
      <c r="AG39">
        <v>2.3867389405881609</v>
      </c>
      <c r="AH39">
        <v>2.0218669869577632</v>
      </c>
      <c r="AI39">
        <v>2.3822548052117329</v>
      </c>
      <c r="AJ39">
        <v>2.2929484650188843</v>
      </c>
      <c r="AK39">
        <v>2.7668177319080756</v>
      </c>
      <c r="AL39">
        <v>2.5986050818628503</v>
      </c>
      <c r="AM39">
        <v>2.0724838177042804</v>
      </c>
      <c r="AN39">
        <v>2.574895188366868</v>
      </c>
      <c r="AO39">
        <v>1.8804300144087225</v>
      </c>
      <c r="AP39">
        <v>3.060471165773285</v>
      </c>
      <c r="AS39">
        <v>2.3488175846322332</v>
      </c>
      <c r="AT39">
        <v>3.1199712700852915</v>
      </c>
      <c r="AU39">
        <v>2.7525704519155378</v>
      </c>
      <c r="AV39">
        <v>3.583811037075249</v>
      </c>
      <c r="AW39">
        <v>2.7152649582969945</v>
      </c>
    </row>
    <row r="40" spans="1:49" x14ac:dyDescent="0.2">
      <c r="A40" t="s">
        <v>162</v>
      </c>
      <c r="B40" t="s">
        <v>145</v>
      </c>
      <c r="C40">
        <v>1.5368286531667583</v>
      </c>
      <c r="D40">
        <v>1.5747201506882351</v>
      </c>
      <c r="E40">
        <v>1.5948768158856526</v>
      </c>
      <c r="F40">
        <v>2.0913528751304806</v>
      </c>
      <c r="G40">
        <v>1.4932696658217179</v>
      </c>
      <c r="H40">
        <v>1.0354932885510653</v>
      </c>
      <c r="I40">
        <v>1.5629601859863109</v>
      </c>
      <c r="J40">
        <v>1.6884198139399571</v>
      </c>
      <c r="K40">
        <v>1.5833460454366102</v>
      </c>
      <c r="L40">
        <v>2.2571577845723358</v>
      </c>
      <c r="M40">
        <v>1.3834500386864745</v>
      </c>
      <c r="O40">
        <v>1.634240642293338</v>
      </c>
      <c r="Q40">
        <v>1.9540275169649517</v>
      </c>
      <c r="R40">
        <v>1.2938663275401683</v>
      </c>
      <c r="S40">
        <v>2.0114401237949147</v>
      </c>
      <c r="T40">
        <v>1.2665779475723076</v>
      </c>
      <c r="U40">
        <v>1.6299037242101229</v>
      </c>
      <c r="V40">
        <v>1.4160872797294519</v>
      </c>
      <c r="W40">
        <v>2.230019715450192</v>
      </c>
      <c r="X40">
        <v>1.4520403412170759</v>
      </c>
      <c r="Y40">
        <v>2.1437067991141663</v>
      </c>
      <c r="Z40">
        <v>1.3468108587587959</v>
      </c>
      <c r="AA40">
        <v>1.2681642466073457</v>
      </c>
      <c r="AB40">
        <v>1.754687721112081</v>
      </c>
      <c r="AC40">
        <v>1.4867225438062197</v>
      </c>
      <c r="AD40">
        <v>1.5455674888937831</v>
      </c>
      <c r="AE40">
        <v>1.67958284099835</v>
      </c>
      <c r="AF40">
        <v>2.0127807693208273</v>
      </c>
      <c r="AG40">
        <v>1.4911092358357088</v>
      </c>
      <c r="AH40">
        <v>1.5518267517521596</v>
      </c>
      <c r="AI40">
        <v>1.7693537071123273</v>
      </c>
      <c r="AJ40">
        <v>1.5412009413940306</v>
      </c>
      <c r="AK40">
        <v>1.9752342440843265</v>
      </c>
      <c r="AL40">
        <v>1.0891133458735969</v>
      </c>
      <c r="AM40">
        <v>1.7098091975892784</v>
      </c>
      <c r="AN40">
        <v>1.930654587299121</v>
      </c>
      <c r="AO40">
        <v>1.4560865799326019</v>
      </c>
      <c r="AP40">
        <v>1.5416658746976983</v>
      </c>
      <c r="AS40">
        <v>1.598657068909288</v>
      </c>
      <c r="AT40">
        <v>2.2332588283400776</v>
      </c>
      <c r="AU40">
        <v>2.1795238408107274</v>
      </c>
      <c r="AV40">
        <v>2.470260135618318</v>
      </c>
      <c r="AW40">
        <v>1.787825099488054</v>
      </c>
    </row>
    <row r="41" spans="1:49" x14ac:dyDescent="0.2">
      <c r="A41" t="s">
        <v>163</v>
      </c>
      <c r="B41" t="s">
        <v>153</v>
      </c>
      <c r="C41">
        <v>9.7927601518053891</v>
      </c>
      <c r="D41">
        <v>11.918838968827503</v>
      </c>
      <c r="E41">
        <v>6.1690568028894646</v>
      </c>
      <c r="F41">
        <v>15.290415277998802</v>
      </c>
      <c r="G41">
        <v>15.479706783078109</v>
      </c>
      <c r="H41">
        <v>12.989334362033194</v>
      </c>
      <c r="I41">
        <v>14.629981173838946</v>
      </c>
      <c r="J41">
        <v>12.393783553446278</v>
      </c>
      <c r="K41">
        <v>11.466897040469281</v>
      </c>
      <c r="L41">
        <v>13.113567976039219</v>
      </c>
      <c r="M41">
        <v>16.582814365170655</v>
      </c>
      <c r="O41">
        <v>19.985395631489165</v>
      </c>
      <c r="Q41">
        <v>10.680969993012974</v>
      </c>
      <c r="R41">
        <v>20.346952060722135</v>
      </c>
      <c r="S41">
        <v>21.610772267312086</v>
      </c>
      <c r="T41">
        <v>17.47309655121752</v>
      </c>
      <c r="U41">
        <v>9.5559769957469864</v>
      </c>
      <c r="V41">
        <v>14.775742309414893</v>
      </c>
      <c r="W41">
        <v>14.722184291243325</v>
      </c>
      <c r="X41">
        <v>10.910454973321141</v>
      </c>
      <c r="Y41">
        <v>11.038495241709938</v>
      </c>
      <c r="Z41">
        <v>15.470870639738486</v>
      </c>
      <c r="AA41">
        <v>18.819563838415377</v>
      </c>
      <c r="AB41">
        <v>16.633874652174899</v>
      </c>
      <c r="AC41">
        <v>15.847024864260987</v>
      </c>
      <c r="AD41">
        <v>13.82986568232462</v>
      </c>
      <c r="AE41">
        <v>19.832249254234142</v>
      </c>
      <c r="AF41">
        <v>25.791693690544946</v>
      </c>
      <c r="AG41">
        <v>16.333215371858685</v>
      </c>
      <c r="AH41">
        <v>10.914177299711097</v>
      </c>
      <c r="AI41">
        <v>9.6455413845347984</v>
      </c>
      <c r="AJ41">
        <v>8.5916567948367017</v>
      </c>
      <c r="AK41">
        <v>12.618520201650906</v>
      </c>
      <c r="AL41">
        <v>25.677249727417049</v>
      </c>
      <c r="AM41">
        <v>17.319521957114578</v>
      </c>
      <c r="AN41">
        <v>10.064019335472739</v>
      </c>
      <c r="AO41">
        <v>10.665259755794118</v>
      </c>
      <c r="AP41">
        <v>29.018479422577368</v>
      </c>
      <c r="AS41">
        <v>11.827895440473315</v>
      </c>
      <c r="AT41">
        <v>20.10036094820811</v>
      </c>
      <c r="AU41">
        <v>11.738280022688789</v>
      </c>
      <c r="AV41">
        <v>10.260473928977863</v>
      </c>
      <c r="AW41">
        <v>17.439117589843271</v>
      </c>
    </row>
    <row r="42" spans="1:49" x14ac:dyDescent="0.2">
      <c r="A42" t="s">
        <v>163</v>
      </c>
      <c r="B42" t="s">
        <v>147</v>
      </c>
      <c r="C42">
        <v>127.48092512633207</v>
      </c>
      <c r="D42">
        <v>184.12532559701071</v>
      </c>
      <c r="E42">
        <v>97.673196684438466</v>
      </c>
      <c r="F42">
        <v>127.19092965969534</v>
      </c>
      <c r="G42">
        <v>251.14657987844234</v>
      </c>
      <c r="H42">
        <v>329.33243283448644</v>
      </c>
      <c r="I42">
        <v>167.08239338197339</v>
      </c>
      <c r="J42">
        <v>200.10582101803899</v>
      </c>
      <c r="K42">
        <v>172.22376143645573</v>
      </c>
      <c r="L42">
        <v>170.55347272334498</v>
      </c>
      <c r="M42">
        <v>197.8858997631161</v>
      </c>
      <c r="O42">
        <v>172.41344409328715</v>
      </c>
      <c r="Q42">
        <v>139.52213356289943</v>
      </c>
      <c r="R42">
        <v>453.66608045144631</v>
      </c>
      <c r="S42">
        <v>247.38865382913642</v>
      </c>
      <c r="T42">
        <v>170.88030470514607</v>
      </c>
      <c r="U42">
        <v>123.29582423310185</v>
      </c>
      <c r="V42">
        <v>124.85377605424927</v>
      </c>
      <c r="W42">
        <v>157.03379739375885</v>
      </c>
      <c r="X42">
        <v>125.71360614096974</v>
      </c>
      <c r="Y42">
        <v>134.57751734729672</v>
      </c>
      <c r="Z42">
        <v>158.10324793170915</v>
      </c>
      <c r="AA42">
        <v>235.12230907495072</v>
      </c>
      <c r="AB42">
        <v>187.33747124869362</v>
      </c>
      <c r="AC42">
        <v>166.17981652354129</v>
      </c>
      <c r="AD42">
        <v>167.00931021136171</v>
      </c>
      <c r="AE42">
        <v>242.39473314980364</v>
      </c>
      <c r="AF42">
        <v>490.51985610808515</v>
      </c>
      <c r="AG42">
        <v>174.34903775046743</v>
      </c>
      <c r="AH42">
        <v>139.92727024108615</v>
      </c>
      <c r="AI42">
        <v>103.37944810291066</v>
      </c>
      <c r="AJ42">
        <v>113.29506480572904</v>
      </c>
      <c r="AK42">
        <v>155.32531644851778</v>
      </c>
      <c r="AL42">
        <v>327.36894680134776</v>
      </c>
      <c r="AM42">
        <v>165.31188333901062</v>
      </c>
      <c r="AN42">
        <v>90.566041092432883</v>
      </c>
      <c r="AO42">
        <v>169.09491245653552</v>
      </c>
      <c r="AP42">
        <v>415.67964332948748</v>
      </c>
      <c r="AS42">
        <v>146.28936159427849</v>
      </c>
      <c r="AT42">
        <v>477.54673802564878</v>
      </c>
      <c r="AU42">
        <v>101.16446769996546</v>
      </c>
      <c r="AV42">
        <v>117.70137228586785</v>
      </c>
      <c r="AW42">
        <v>183.90434520051866</v>
      </c>
    </row>
    <row r="43" spans="1:49" x14ac:dyDescent="0.2">
      <c r="A43" t="s">
        <v>163</v>
      </c>
      <c r="B43" t="s">
        <v>148</v>
      </c>
      <c r="C43">
        <v>16.260430442663345</v>
      </c>
      <c r="D43">
        <v>17.879016842937901</v>
      </c>
      <c r="E43">
        <v>12.246975029263105</v>
      </c>
      <c r="F43">
        <v>23.811974557278084</v>
      </c>
      <c r="G43">
        <v>25.710138330228919</v>
      </c>
      <c r="H43">
        <v>33.714755636378172</v>
      </c>
      <c r="I43">
        <v>17.201579183065672</v>
      </c>
      <c r="J43">
        <v>24.843348849823848</v>
      </c>
      <c r="K43">
        <v>18.591778444229977</v>
      </c>
      <c r="L43">
        <v>27.1752677252091</v>
      </c>
      <c r="M43">
        <v>25.1090090387606</v>
      </c>
      <c r="O43">
        <v>23.563196588640423</v>
      </c>
      <c r="Q43">
        <v>17.979809779005254</v>
      </c>
      <c r="R43">
        <v>39.743353400047226</v>
      </c>
      <c r="S43">
        <v>31.447736802041643</v>
      </c>
      <c r="T43">
        <v>20.195723962394268</v>
      </c>
      <c r="U43">
        <v>17.884939386990755</v>
      </c>
      <c r="V43">
        <v>16.244362513628612</v>
      </c>
      <c r="W43">
        <v>21.350233477135792</v>
      </c>
      <c r="X43">
        <v>16.361027456968163</v>
      </c>
      <c r="Y43">
        <v>25.194350934670272</v>
      </c>
      <c r="Z43">
        <v>3.6575163906404931E-2</v>
      </c>
      <c r="AA43">
        <v>25.533272397108707</v>
      </c>
      <c r="AB43">
        <v>24.038531270621412</v>
      </c>
      <c r="AC43">
        <v>23.819964220815908</v>
      </c>
      <c r="AD43">
        <v>21.563136382006835</v>
      </c>
      <c r="AE43">
        <v>28.883321661688324</v>
      </c>
      <c r="AF43">
        <v>56.501127289222723</v>
      </c>
      <c r="AG43">
        <v>22.486216329751684</v>
      </c>
      <c r="AH43">
        <v>17.428175630848674</v>
      </c>
      <c r="AI43">
        <v>15.471957965071132</v>
      </c>
      <c r="AJ43">
        <v>17.066569353634094</v>
      </c>
      <c r="AK43">
        <v>21.284730318531391</v>
      </c>
      <c r="AL43">
        <v>33.914766968858395</v>
      </c>
      <c r="AM43">
        <v>17.266605867967293</v>
      </c>
      <c r="AN43">
        <v>16.823361465291534</v>
      </c>
      <c r="AO43">
        <v>17.20101565210895</v>
      </c>
      <c r="AP43">
        <v>42.059633379126836</v>
      </c>
      <c r="AS43">
        <v>17.029690579838331</v>
      </c>
      <c r="AT43">
        <v>47.753573318919337</v>
      </c>
      <c r="AU43">
        <v>16.295405658147903</v>
      </c>
      <c r="AV43">
        <v>22.039098421447708</v>
      </c>
      <c r="AW43">
        <v>23.025485849943411</v>
      </c>
    </row>
    <row r="44" spans="1:49" x14ac:dyDescent="0.2">
      <c r="A44" t="s">
        <v>163</v>
      </c>
      <c r="B44" t="s">
        <v>154</v>
      </c>
      <c r="C44">
        <v>0.41915923171706992</v>
      </c>
      <c r="D44">
        <v>0.40258145844119442</v>
      </c>
      <c r="E44">
        <v>0.37622305536574807</v>
      </c>
      <c r="F44">
        <v>0.45202762249296996</v>
      </c>
      <c r="G44">
        <v>0.44732637078645204</v>
      </c>
      <c r="H44">
        <v>0.41046659318072476</v>
      </c>
      <c r="I44">
        <v>0.36587541277809615</v>
      </c>
      <c r="J44">
        <v>0.30962208100367128</v>
      </c>
      <c r="K44">
        <v>0.4133409236188833</v>
      </c>
      <c r="L44">
        <v>0.53123441754354828</v>
      </c>
      <c r="M44">
        <v>0.31412482902773892</v>
      </c>
      <c r="O44">
        <v>0.47234637386175871</v>
      </c>
      <c r="Q44">
        <v>0.4758572505239333</v>
      </c>
      <c r="R44">
        <v>0.28643175765103374</v>
      </c>
      <c r="S44">
        <v>0.40356259198951694</v>
      </c>
      <c r="T44">
        <v>0.35749616912077126</v>
      </c>
      <c r="U44">
        <v>0.43602532805034544</v>
      </c>
      <c r="V44">
        <v>0.38461513581156209</v>
      </c>
      <c r="W44">
        <v>0.51759076976940355</v>
      </c>
      <c r="X44">
        <v>0.3521029958296597</v>
      </c>
      <c r="Y44">
        <v>0.52454601252252531</v>
      </c>
      <c r="Z44">
        <v>0.34571458620264389</v>
      </c>
      <c r="AA44">
        <v>0.34911448167708858</v>
      </c>
      <c r="AB44">
        <v>0.38370360246571478</v>
      </c>
      <c r="AC44">
        <v>0.35109436866070981</v>
      </c>
      <c r="AD44">
        <v>0.36920132002506273</v>
      </c>
      <c r="AE44">
        <v>0.48402762767548596</v>
      </c>
      <c r="AF44">
        <v>0.22351947620932738</v>
      </c>
      <c r="AG44">
        <v>0.32791014077979247</v>
      </c>
      <c r="AH44">
        <v>0.37456807773753625</v>
      </c>
      <c r="AI44">
        <v>0.37354969329843135</v>
      </c>
      <c r="AJ44">
        <v>0.48042977104196544</v>
      </c>
      <c r="AK44">
        <v>0.65633412241819278</v>
      </c>
      <c r="AL44">
        <v>0.41466934131719152</v>
      </c>
      <c r="AM44">
        <v>0.47578293477482125</v>
      </c>
      <c r="AN44">
        <v>0.48380599886640535</v>
      </c>
      <c r="AO44">
        <v>0.30228692752408476</v>
      </c>
      <c r="AP44">
        <v>0.2345479252030962</v>
      </c>
      <c r="AS44">
        <v>0.42474952692298829</v>
      </c>
      <c r="AT44">
        <v>0.58382005364481582</v>
      </c>
      <c r="AU44">
        <v>0.45678960305876865</v>
      </c>
      <c r="AV44">
        <v>0.51659743327733054</v>
      </c>
      <c r="AW44">
        <v>0.49328938452424903</v>
      </c>
    </row>
    <row r="45" spans="1:49" x14ac:dyDescent="0.2">
      <c r="A45" t="s">
        <v>163</v>
      </c>
      <c r="B45" t="s">
        <v>155</v>
      </c>
      <c r="C45">
        <v>1.056288076289565</v>
      </c>
      <c r="D45">
        <v>1.1013541234680966</v>
      </c>
      <c r="E45">
        <v>1.0812085796938395</v>
      </c>
      <c r="F45">
        <v>1.7603359153739002</v>
      </c>
      <c r="G45">
        <v>1.146800291885111</v>
      </c>
      <c r="H45">
        <v>2.1208982805927485</v>
      </c>
      <c r="I45">
        <v>1.0310691305829394</v>
      </c>
      <c r="J45">
        <v>0.9265275863147715</v>
      </c>
      <c r="K45">
        <v>1.1402628370629277</v>
      </c>
      <c r="L45">
        <v>1.3699777505282769</v>
      </c>
      <c r="M45">
        <v>1.135963308877965</v>
      </c>
      <c r="O45">
        <v>1.075507017110044</v>
      </c>
      <c r="Q45">
        <v>1.8116511524836545</v>
      </c>
      <c r="R45">
        <v>1.3177091977675812</v>
      </c>
      <c r="S45">
        <v>2.0841327317871574</v>
      </c>
      <c r="T45">
        <v>1.1468696566372525</v>
      </c>
      <c r="U45">
        <v>1.1080063281626433</v>
      </c>
      <c r="V45">
        <v>1.5278431940563617</v>
      </c>
      <c r="W45">
        <v>1.366144096764127</v>
      </c>
      <c r="X45">
        <v>1.3030315284287131</v>
      </c>
      <c r="Y45">
        <v>2.0758001198811011</v>
      </c>
      <c r="Z45">
        <v>0.22216799650313862</v>
      </c>
      <c r="AA45">
        <v>0.97053844868766881</v>
      </c>
      <c r="AB45">
        <v>1.9979021921700257</v>
      </c>
      <c r="AC45">
        <v>1.0208268983734481</v>
      </c>
      <c r="AD45">
        <v>1.9690914427976047</v>
      </c>
      <c r="AE45">
        <v>1.4733323531024685</v>
      </c>
      <c r="AF45">
        <v>2.1990197795429816</v>
      </c>
      <c r="AG45">
        <v>1.4185933317973838</v>
      </c>
      <c r="AH45">
        <v>0.98158839612695448</v>
      </c>
      <c r="AI45">
        <v>0.97641441702700271</v>
      </c>
      <c r="AJ45">
        <v>1.2828887586035862</v>
      </c>
      <c r="AK45">
        <v>1.9782581430834387</v>
      </c>
      <c r="AL45">
        <v>1.6235442090306955</v>
      </c>
      <c r="AM45">
        <v>1.076750470760681</v>
      </c>
      <c r="AN45">
        <v>1.514098960879928</v>
      </c>
      <c r="AO45">
        <v>0.9857672134689025</v>
      </c>
      <c r="AP45">
        <v>1.3725682035212172</v>
      </c>
      <c r="AS45">
        <v>1.5127036634736502</v>
      </c>
      <c r="AT45">
        <v>3.3496213924822675</v>
      </c>
      <c r="AU45">
        <v>1.5268704579636541</v>
      </c>
      <c r="AV45">
        <v>1.6828259190146102</v>
      </c>
      <c r="AW45">
        <v>1.4145124099009971</v>
      </c>
    </row>
    <row r="46" spans="1:49" x14ac:dyDescent="0.2">
      <c r="A46" t="s">
        <v>163</v>
      </c>
      <c r="B46" t="s">
        <v>149</v>
      </c>
      <c r="C46">
        <v>8.8941450583548303</v>
      </c>
      <c r="D46">
        <v>9.4377978399404441</v>
      </c>
      <c r="E46">
        <v>10.084209843651537</v>
      </c>
      <c r="F46">
        <v>10.396117778823946</v>
      </c>
      <c r="G46">
        <v>12.860961415329873</v>
      </c>
      <c r="H46">
        <v>14.782577260636247</v>
      </c>
      <c r="I46">
        <v>9.6966907256573212</v>
      </c>
      <c r="J46">
        <v>10.617507776225979</v>
      </c>
      <c r="K46">
        <v>9.1722566259539189</v>
      </c>
      <c r="L46">
        <v>11.213091524706023</v>
      </c>
      <c r="M46">
        <v>10.824195370770006</v>
      </c>
      <c r="O46">
        <v>8.4133047057669614</v>
      </c>
      <c r="Q46">
        <v>10.895630474135745</v>
      </c>
      <c r="R46">
        <v>17.353007698204323</v>
      </c>
      <c r="S46">
        <v>14.804211460950405</v>
      </c>
      <c r="T46">
        <v>11.477270114642028</v>
      </c>
      <c r="U46">
        <v>11.426770847162773</v>
      </c>
      <c r="V46">
        <v>9.3704948409127269</v>
      </c>
      <c r="W46">
        <v>9.2959664764974672</v>
      </c>
      <c r="X46">
        <v>9.8396019294878059</v>
      </c>
      <c r="Y46">
        <v>10.687853089367605</v>
      </c>
      <c r="Z46">
        <v>17.420477118813402</v>
      </c>
      <c r="AA46">
        <v>12.585370085352615</v>
      </c>
      <c r="AB46">
        <v>14.680957062205422</v>
      </c>
      <c r="AC46">
        <v>11.837353500478223</v>
      </c>
      <c r="AD46">
        <v>12.5791067933812</v>
      </c>
      <c r="AE46">
        <v>12.924579627135195</v>
      </c>
      <c r="AF46">
        <v>26.666146003478048</v>
      </c>
      <c r="AG46">
        <v>12.467054193749972</v>
      </c>
      <c r="AH46">
        <v>8.2795098679068904</v>
      </c>
      <c r="AI46">
        <v>8.1201208666852551</v>
      </c>
      <c r="AJ46">
        <v>12.206868274062934</v>
      </c>
      <c r="AK46">
        <v>12.596370246448766</v>
      </c>
      <c r="AL46">
        <v>12.944623595625822</v>
      </c>
      <c r="AM46">
        <v>8.2021410153459371</v>
      </c>
      <c r="AN46">
        <v>9.8488087247118479</v>
      </c>
      <c r="AO46">
        <v>9.9972036098997314</v>
      </c>
      <c r="AP46">
        <v>18.784613535110552</v>
      </c>
      <c r="AS46">
        <v>9.7805260974521993</v>
      </c>
      <c r="AT46">
        <v>20.96447140066671</v>
      </c>
      <c r="AU46">
        <v>8.0021140659284544</v>
      </c>
      <c r="AV46">
        <v>10.389379719107156</v>
      </c>
      <c r="AW46">
        <v>11.654182169023002</v>
      </c>
    </row>
    <row r="47" spans="1:49" x14ac:dyDescent="0.2">
      <c r="A47" t="s">
        <v>163</v>
      </c>
      <c r="B47" t="s">
        <v>156</v>
      </c>
      <c r="C47">
        <v>49.729110432592371</v>
      </c>
      <c r="D47">
        <v>49.341209998112284</v>
      </c>
      <c r="E47">
        <v>43.145523368594581</v>
      </c>
      <c r="F47">
        <v>69.762123647018768</v>
      </c>
      <c r="G47">
        <v>61.989849866908301</v>
      </c>
      <c r="H47">
        <v>85.101347473527653</v>
      </c>
      <c r="I47">
        <v>48.293831425659263</v>
      </c>
      <c r="J47">
        <v>60.025679518102308</v>
      </c>
      <c r="K47">
        <v>52.47645714232214</v>
      </c>
      <c r="L47">
        <v>64.338379761919498</v>
      </c>
      <c r="M47">
        <v>56.639457987209255</v>
      </c>
      <c r="O47">
        <v>49.476205972459738</v>
      </c>
      <c r="Q47">
        <v>54.864246993403519</v>
      </c>
      <c r="R47">
        <v>83.369268890322459</v>
      </c>
      <c r="S47">
        <v>72.292054386542418</v>
      </c>
      <c r="T47">
        <v>50.837840548050927</v>
      </c>
      <c r="U47">
        <v>47.314764694591069</v>
      </c>
      <c r="V47">
        <v>53.156864289183204</v>
      </c>
      <c r="W47">
        <v>62.517297236243543</v>
      </c>
      <c r="X47">
        <v>45.405879735514041</v>
      </c>
      <c r="Y47">
        <v>65.319004225204921</v>
      </c>
      <c r="Z47">
        <v>57.886052117114069</v>
      </c>
      <c r="AA47">
        <v>62.594746666213517</v>
      </c>
      <c r="AB47">
        <v>69.304542224812394</v>
      </c>
      <c r="AC47">
        <v>55.818947180662121</v>
      </c>
      <c r="AD47">
        <v>70.336192916502924</v>
      </c>
      <c r="AE47">
        <v>65.124687494413465</v>
      </c>
      <c r="AF47">
        <v>143.86163380425015</v>
      </c>
      <c r="AG47">
        <v>54.997939917960039</v>
      </c>
      <c r="AH47">
        <v>44.662548853966761</v>
      </c>
      <c r="AI47">
        <v>43.934477224170827</v>
      </c>
      <c r="AJ47">
        <v>55.974866386454217</v>
      </c>
      <c r="AK47">
        <v>61.31926534008182</v>
      </c>
      <c r="AL47">
        <v>65.135043170171386</v>
      </c>
      <c r="AM47">
        <v>45.308920577275416</v>
      </c>
      <c r="AN47">
        <v>54.495457909033775</v>
      </c>
      <c r="AO47">
        <v>48.859397000894596</v>
      </c>
      <c r="AP47">
        <v>77.728264839705787</v>
      </c>
      <c r="AS47">
        <v>46.163869871778736</v>
      </c>
      <c r="AT47">
        <v>126.81410404039576</v>
      </c>
      <c r="AU47">
        <v>48.701296623773715</v>
      </c>
      <c r="AV47">
        <v>71.100758848536017</v>
      </c>
      <c r="AW47">
        <v>62.436816486791479</v>
      </c>
    </row>
    <row r="48" spans="1:49" x14ac:dyDescent="0.2">
      <c r="A48" t="s">
        <v>163</v>
      </c>
      <c r="B48" t="s">
        <v>150</v>
      </c>
      <c r="C48">
        <v>4.4892610884000375</v>
      </c>
      <c r="D48">
        <v>4.4603056192085546</v>
      </c>
      <c r="E48">
        <v>4.3962349378422019</v>
      </c>
      <c r="F48">
        <v>6.3606879779119669</v>
      </c>
      <c r="G48">
        <v>5.3941786738815924</v>
      </c>
      <c r="H48">
        <v>5.6663233267730293</v>
      </c>
      <c r="I48">
        <v>4.3539273995859631</v>
      </c>
      <c r="J48">
        <v>5.115272649015723</v>
      </c>
      <c r="K48">
        <v>4.8441317977243772</v>
      </c>
      <c r="L48">
        <v>6.2663221976781038</v>
      </c>
      <c r="M48">
        <v>5.0477958654544919</v>
      </c>
      <c r="O48">
        <v>4.4778858940574802</v>
      </c>
      <c r="Q48">
        <v>4.9946143127465277</v>
      </c>
      <c r="R48">
        <v>6.6295238333820743</v>
      </c>
      <c r="S48">
        <v>6.2706720141509917</v>
      </c>
      <c r="T48">
        <v>4.3794366207386197</v>
      </c>
      <c r="U48">
        <v>4.6778487755730449</v>
      </c>
      <c r="V48">
        <v>4.433597078202836</v>
      </c>
      <c r="W48">
        <v>5.5434826349194459</v>
      </c>
      <c r="X48">
        <v>5.2484520016178813</v>
      </c>
      <c r="Y48">
        <v>5.9277039229173978</v>
      </c>
      <c r="Z48">
        <v>5.0231519270851663</v>
      </c>
      <c r="AA48">
        <v>5.6900759334048105</v>
      </c>
      <c r="AB48">
        <v>5.6182201348318568</v>
      </c>
      <c r="AC48">
        <v>5.2643792575540074</v>
      </c>
      <c r="AD48">
        <v>5.4132494920676821</v>
      </c>
      <c r="AE48">
        <v>5.76858353440947</v>
      </c>
      <c r="AF48">
        <v>9.2540201572897072</v>
      </c>
      <c r="AG48">
        <v>4.800944415114448</v>
      </c>
      <c r="AH48">
        <v>4.094347887493254</v>
      </c>
      <c r="AI48">
        <v>4.5133604673862191</v>
      </c>
      <c r="AJ48">
        <v>4.7970753008145364</v>
      </c>
      <c r="AK48">
        <v>5.7160695403985695</v>
      </c>
      <c r="AL48">
        <v>5.1747775160567926</v>
      </c>
      <c r="AM48">
        <v>4.3654009318607745</v>
      </c>
      <c r="AN48">
        <v>4.99732269230838</v>
      </c>
      <c r="AO48">
        <v>4.1494350115833978</v>
      </c>
      <c r="AP48">
        <v>6.4416048687232088</v>
      </c>
      <c r="AS48">
        <v>4.3765526479400156</v>
      </c>
      <c r="AT48">
        <v>8.5958787697272019</v>
      </c>
      <c r="AU48">
        <v>4.8083552929132916</v>
      </c>
      <c r="AV48">
        <v>6.2914866539193053</v>
      </c>
      <c r="AW48">
        <v>5.344724994455758</v>
      </c>
    </row>
    <row r="49" spans="1:49" x14ac:dyDescent="0.2">
      <c r="B49" t="s">
        <v>180</v>
      </c>
      <c r="C49">
        <v>218.12207960000001</v>
      </c>
      <c r="D49">
        <v>278.66643040000002</v>
      </c>
      <c r="E49">
        <v>175.17262830000001</v>
      </c>
      <c r="F49">
        <v>255.0246124</v>
      </c>
      <c r="G49">
        <v>374.17554159999997</v>
      </c>
      <c r="H49">
        <v>484.1181358</v>
      </c>
      <c r="I49">
        <v>262.65534780000002</v>
      </c>
      <c r="J49">
        <v>314.33756299999999</v>
      </c>
      <c r="K49">
        <v>270.3288862</v>
      </c>
      <c r="L49">
        <v>294.5613141</v>
      </c>
      <c r="M49">
        <v>313.53926050000001</v>
      </c>
      <c r="O49">
        <v>279.87728629999998</v>
      </c>
      <c r="Q49">
        <v>241.22491350000001</v>
      </c>
      <c r="R49">
        <v>622.71232729999997</v>
      </c>
      <c r="S49">
        <v>396.30179609999999</v>
      </c>
      <c r="T49">
        <v>276.74803830000002</v>
      </c>
      <c r="U49">
        <v>215.70015660000001</v>
      </c>
      <c r="V49">
        <v>224.74729540000001</v>
      </c>
      <c r="W49">
        <v>272.34669639999998</v>
      </c>
      <c r="X49">
        <v>215.1341568</v>
      </c>
      <c r="Y49">
        <v>255.3452709</v>
      </c>
      <c r="Z49">
        <v>254.50825750000001</v>
      </c>
      <c r="AA49">
        <v>361.66499090000002</v>
      </c>
      <c r="AB49">
        <v>319.99520239999998</v>
      </c>
      <c r="AC49">
        <v>280.13940680000002</v>
      </c>
      <c r="AD49">
        <v>293.06915420000001</v>
      </c>
      <c r="AE49">
        <v>376.88551469999999</v>
      </c>
      <c r="AF49">
        <v>755.01701630000002</v>
      </c>
      <c r="AG49">
        <v>287.18091149999998</v>
      </c>
      <c r="AH49">
        <v>226.6621863</v>
      </c>
      <c r="AI49">
        <v>186.4148701</v>
      </c>
      <c r="AJ49">
        <v>213.69541939999999</v>
      </c>
      <c r="AK49">
        <v>271.49486439999998</v>
      </c>
      <c r="AL49">
        <v>472.25362130000002</v>
      </c>
      <c r="AM49">
        <v>259.3270071</v>
      </c>
      <c r="AN49">
        <v>188.79291620000001</v>
      </c>
      <c r="AO49">
        <v>261.2552776</v>
      </c>
      <c r="AP49">
        <v>591.31935550000003</v>
      </c>
      <c r="AS49">
        <v>237.40534940000001</v>
      </c>
      <c r="AT49">
        <v>705.70856790000005</v>
      </c>
      <c r="AU49">
        <v>192.6935794</v>
      </c>
      <c r="AV49">
        <v>239.98199320000001</v>
      </c>
      <c r="AW49">
        <v>305.71247410000001</v>
      </c>
    </row>
    <row r="50" spans="1:49" x14ac:dyDescent="0.2">
      <c r="B50" t="s">
        <v>186</v>
      </c>
      <c r="C50">
        <f>SUM(C34:C40)</f>
        <v>17.49270907596496</v>
      </c>
      <c r="D50">
        <f t="shared" ref="D50:AW50" si="9">SUM(D34:D40)</f>
        <v>22.52774647490692</v>
      </c>
      <c r="E50">
        <f t="shared" si="9"/>
        <v>22.046623469332218</v>
      </c>
      <c r="F50">
        <f t="shared" si="9"/>
        <v>14.522394319380419</v>
      </c>
      <c r="G50">
        <f t="shared" si="9"/>
        <v>28.96012563674514</v>
      </c>
      <c r="H50">
        <f t="shared" si="9"/>
        <v>41.093634969864638</v>
      </c>
      <c r="I50">
        <f t="shared" si="9"/>
        <v>24.915149709726713</v>
      </c>
      <c r="J50">
        <f t="shared" si="9"/>
        <v>29.380734256136403</v>
      </c>
      <c r="K50">
        <f t="shared" si="9"/>
        <v>21.830078903373746</v>
      </c>
      <c r="L50">
        <f t="shared" si="9"/>
        <v>21.367607307243311</v>
      </c>
      <c r="M50">
        <f t="shared" si="9"/>
        <v>22.750360613723576</v>
      </c>
      <c r="O50">
        <f t="shared" si="9"/>
        <v>16.733158567088051</v>
      </c>
      <c r="Q50">
        <f t="shared" si="9"/>
        <v>17.044212694618011</v>
      </c>
      <c r="R50">
        <f t="shared" si="9"/>
        <v>64.274988851893141</v>
      </c>
      <c r="S50">
        <f t="shared" si="9"/>
        <v>26.3656223130798</v>
      </c>
      <c r="T50">
        <f t="shared" si="9"/>
        <v>19.537017813690753</v>
      </c>
      <c r="U50">
        <f t="shared" si="9"/>
        <v>17.3224035291517</v>
      </c>
      <c r="V50">
        <f t="shared" si="9"/>
        <v>16.516483570046162</v>
      </c>
      <c r="W50">
        <f t="shared" si="9"/>
        <v>15.98260823638474</v>
      </c>
      <c r="X50">
        <f t="shared" si="9"/>
        <v>14.361041361338183</v>
      </c>
      <c r="Y50">
        <f t="shared" si="9"/>
        <v>16.024724958921396</v>
      </c>
      <c r="Z50">
        <f t="shared" si="9"/>
        <v>19.20596313457666</v>
      </c>
      <c r="AA50">
        <f t="shared" si="9"/>
        <v>26.414356402714528</v>
      </c>
      <c r="AB50">
        <f t="shared" si="9"/>
        <v>25.756357272946293</v>
      </c>
      <c r="AC50">
        <f t="shared" si="9"/>
        <v>20.198089959665356</v>
      </c>
      <c r="AD50">
        <f t="shared" si="9"/>
        <v>18.283454001072151</v>
      </c>
      <c r="AE50">
        <f t="shared" si="9"/>
        <v>22.479624446366433</v>
      </c>
      <c r="AF50">
        <f t="shared" si="9"/>
        <v>47.867942155108338</v>
      </c>
      <c r="AG50">
        <f t="shared" si="9"/>
        <v>20.921060074864023</v>
      </c>
      <c r="AH50">
        <f t="shared" si="9"/>
        <v>20.119549474489293</v>
      </c>
      <c r="AI50">
        <f t="shared" si="9"/>
        <v>14.882596047767672</v>
      </c>
      <c r="AJ50">
        <f t="shared" si="9"/>
        <v>20.517545983610621</v>
      </c>
      <c r="AK50">
        <f t="shared" si="9"/>
        <v>25.701685631345082</v>
      </c>
      <c r="AL50">
        <f t="shared" si="9"/>
        <v>35.109973308104067</v>
      </c>
      <c r="AM50">
        <f t="shared" si="9"/>
        <v>15.746998477301188</v>
      </c>
      <c r="AN50">
        <f t="shared" si="9"/>
        <v>13.333019801535073</v>
      </c>
      <c r="AO50">
        <f t="shared" si="9"/>
        <v>18.493371079768352</v>
      </c>
      <c r="AP50">
        <f t="shared" si="9"/>
        <v>48.705421415331294</v>
      </c>
      <c r="AS50">
        <f t="shared" si="9"/>
        <v>20.369647407878151</v>
      </c>
      <c r="AT50">
        <f t="shared" si="9"/>
        <v>59.758696929406227</v>
      </c>
      <c r="AU50">
        <f t="shared" si="9"/>
        <v>13.495322155076934</v>
      </c>
      <c r="AV50">
        <f t="shared" si="9"/>
        <v>16.653853012535635</v>
      </c>
      <c r="AW50">
        <f t="shared" si="9"/>
        <v>17.311560158997334</v>
      </c>
    </row>
    <row r="52" spans="1:49" x14ac:dyDescent="0.2">
      <c r="A52" t="s">
        <v>185</v>
      </c>
      <c r="B52" t="s">
        <v>141</v>
      </c>
      <c r="C52">
        <v>1.372744E-3</v>
      </c>
      <c r="D52">
        <v>1.5264320000000001E-3</v>
      </c>
      <c r="E52">
        <v>2.995054E-3</v>
      </c>
      <c r="F52">
        <v>1.4690499999999999E-4</v>
      </c>
      <c r="G52">
        <v>3.0539529999999999E-3</v>
      </c>
      <c r="H52">
        <v>2.501105E-3</v>
      </c>
      <c r="I52">
        <v>3.1091909999999999E-3</v>
      </c>
      <c r="J52">
        <v>2.316944E-3</v>
      </c>
      <c r="K52">
        <v>1.311378E-3</v>
      </c>
      <c r="L52">
        <v>1.924935E-3</v>
      </c>
      <c r="M52">
        <v>2.0341619999999999E-3</v>
      </c>
      <c r="O52">
        <v>2.530292E-3</v>
      </c>
      <c r="Q52">
        <v>1.6687889999999999E-3</v>
      </c>
      <c r="R52">
        <v>5.3544710000000004E-3</v>
      </c>
      <c r="S52">
        <v>2.3894400000000001E-3</v>
      </c>
      <c r="T52">
        <v>3.217981E-3</v>
      </c>
      <c r="U52">
        <v>1.430186E-3</v>
      </c>
      <c r="V52">
        <v>2.1589510000000001E-3</v>
      </c>
      <c r="W52">
        <v>1.0247699999999999E-3</v>
      </c>
      <c r="X52">
        <v>1.9493920000000001E-3</v>
      </c>
      <c r="Y52">
        <v>9.3294600000000004E-4</v>
      </c>
      <c r="Z52">
        <v>0</v>
      </c>
      <c r="AA52">
        <v>1.643776E-3</v>
      </c>
      <c r="AB52">
        <v>3.4805220000000002E-3</v>
      </c>
      <c r="AC52">
        <v>5.0085980000000004E-3</v>
      </c>
      <c r="AD52">
        <v>1.479443E-3</v>
      </c>
      <c r="AE52">
        <v>2.0465959999999999E-3</v>
      </c>
      <c r="AF52">
        <v>3.7492850000000002E-3</v>
      </c>
      <c r="AG52">
        <v>3.1457109999999998E-3</v>
      </c>
      <c r="AH52">
        <v>4.8842349999999998E-3</v>
      </c>
      <c r="AI52">
        <v>2.3343169999999998E-3</v>
      </c>
      <c r="AJ52">
        <v>1.937886E-3</v>
      </c>
      <c r="AK52">
        <v>2.9381400000000001E-3</v>
      </c>
      <c r="AL52">
        <v>2.8737279999999999E-3</v>
      </c>
      <c r="AM52">
        <v>7.5040800000000004E-4</v>
      </c>
      <c r="AN52">
        <v>1.2133409999999999E-3</v>
      </c>
      <c r="AO52">
        <v>1.7132510000000001E-3</v>
      </c>
      <c r="AP52">
        <v>3.546301E-3</v>
      </c>
      <c r="AS52">
        <v>3.062478E-3</v>
      </c>
      <c r="AT52">
        <v>2.5362280000000002E-3</v>
      </c>
      <c r="AU52">
        <v>6.22589E-4</v>
      </c>
      <c r="AV52">
        <v>1.830073E-3</v>
      </c>
      <c r="AW52">
        <v>1.8668720000000001E-3</v>
      </c>
    </row>
    <row r="53" spans="1:49" x14ac:dyDescent="0.2">
      <c r="B53" t="s">
        <v>142</v>
      </c>
      <c r="C53">
        <v>4.2853592000000003E-2</v>
      </c>
      <c r="D53">
        <v>4.6211216999999999E-2</v>
      </c>
      <c r="E53">
        <v>7.5237569000000004E-2</v>
      </c>
      <c r="F53">
        <v>1.1558397E-2</v>
      </c>
      <c r="G53">
        <v>5.1078045000000002E-2</v>
      </c>
      <c r="H53">
        <v>6.5904142999999998E-2</v>
      </c>
      <c r="I53">
        <v>6.0162782999999997E-2</v>
      </c>
      <c r="J53">
        <v>5.6618818000000001E-2</v>
      </c>
      <c r="K53">
        <v>4.4123611E-2</v>
      </c>
      <c r="L53">
        <v>3.1572507999999999E-2</v>
      </c>
      <c r="M53">
        <v>4.3843814000000002E-2</v>
      </c>
      <c r="O53">
        <v>2.4770965999999998E-2</v>
      </c>
      <c r="Q53">
        <v>3.3922101000000003E-2</v>
      </c>
      <c r="R53">
        <v>8.2892805999999999E-2</v>
      </c>
      <c r="S53">
        <v>3.3087432999999999E-2</v>
      </c>
      <c r="T53">
        <v>3.7977877E-2</v>
      </c>
      <c r="U53">
        <v>4.0797480999999997E-2</v>
      </c>
      <c r="V53">
        <v>3.4705674999999998E-2</v>
      </c>
      <c r="W53">
        <v>2.0843700999999999E-2</v>
      </c>
      <c r="X53">
        <v>2.8457116000000001E-2</v>
      </c>
      <c r="Y53">
        <v>2.3262323000000001E-2</v>
      </c>
      <c r="Z53">
        <v>4.3250766000000003E-2</v>
      </c>
      <c r="AA53">
        <v>4.5344771999999998E-2</v>
      </c>
      <c r="AB53">
        <v>4.2516394999999998E-2</v>
      </c>
      <c r="AC53">
        <v>3.6038559999999997E-2</v>
      </c>
      <c r="AD53">
        <v>2.8008452999999999E-2</v>
      </c>
      <c r="AE53">
        <v>3.4087185999999998E-2</v>
      </c>
      <c r="AF53">
        <v>4.4734963000000003E-2</v>
      </c>
      <c r="AG53">
        <v>3.9767202000000001E-2</v>
      </c>
      <c r="AH53">
        <v>5.1229917999999999E-2</v>
      </c>
      <c r="AI53">
        <v>3.3371102999999999E-2</v>
      </c>
      <c r="AJ53">
        <v>5.2988501E-2</v>
      </c>
      <c r="AK53">
        <v>5.4070387999999997E-2</v>
      </c>
      <c r="AL53">
        <v>5.3090942000000002E-2</v>
      </c>
      <c r="AM53">
        <v>3.0151328000000002E-2</v>
      </c>
      <c r="AN53">
        <v>2.2936311000000001E-2</v>
      </c>
      <c r="AO53">
        <v>3.9462899000000003E-2</v>
      </c>
      <c r="AP53">
        <v>5.7507494999999999E-2</v>
      </c>
      <c r="AS53">
        <v>4.7297631E-2</v>
      </c>
      <c r="AT53">
        <v>6.1779268999999998E-2</v>
      </c>
      <c r="AU53">
        <v>2.4049715999999999E-2</v>
      </c>
      <c r="AV53">
        <v>1.9949497E-2</v>
      </c>
      <c r="AW53">
        <v>2.5329397E-2</v>
      </c>
    </row>
    <row r="54" spans="1:49" x14ac:dyDescent="0.2">
      <c r="B54" t="s">
        <v>143</v>
      </c>
      <c r="C54">
        <v>1.4007119999999999E-3</v>
      </c>
      <c r="D54">
        <v>1.3366700000000001E-3</v>
      </c>
      <c r="E54">
        <v>2.0525220000000002E-3</v>
      </c>
      <c r="F54">
        <v>1.3574730000000001E-3</v>
      </c>
      <c r="G54">
        <v>9.2879599999999996E-4</v>
      </c>
      <c r="H54">
        <v>7.2026900000000005E-4</v>
      </c>
      <c r="I54">
        <v>1.224763E-3</v>
      </c>
      <c r="J54">
        <v>1.0326929999999999E-3</v>
      </c>
      <c r="K54">
        <v>1.3360049999999999E-3</v>
      </c>
      <c r="L54">
        <v>1.4431229999999999E-3</v>
      </c>
      <c r="M54">
        <v>9.3048299999999996E-4</v>
      </c>
      <c r="O54">
        <v>1.103276E-3</v>
      </c>
      <c r="Q54">
        <v>1.233718E-3</v>
      </c>
      <c r="R54">
        <v>3.9979700000000002E-4</v>
      </c>
      <c r="S54">
        <v>1.3374000000000001E-3</v>
      </c>
      <c r="T54">
        <v>1.3030920000000001E-3</v>
      </c>
      <c r="U54">
        <v>1.515873E-3</v>
      </c>
      <c r="V54">
        <v>1.4494340000000001E-3</v>
      </c>
      <c r="W54">
        <v>1.281723E-3</v>
      </c>
      <c r="X54">
        <v>1.8354809999999999E-3</v>
      </c>
      <c r="Y54">
        <v>1.0665150000000001E-3</v>
      </c>
      <c r="Z54">
        <v>1.2766019999999999E-3</v>
      </c>
      <c r="AA54">
        <v>9.0913500000000004E-4</v>
      </c>
      <c r="AB54">
        <v>1.303605E-3</v>
      </c>
      <c r="AC54">
        <v>8.3822499999999995E-4</v>
      </c>
      <c r="AD54">
        <v>1.122851E-3</v>
      </c>
      <c r="AE54">
        <v>7.9772999999999997E-4</v>
      </c>
      <c r="AF54">
        <v>3.9319499999999999E-4</v>
      </c>
      <c r="AG54">
        <v>1.108185E-3</v>
      </c>
      <c r="AH54">
        <v>1.774421E-3</v>
      </c>
      <c r="AI54">
        <v>1.7296589999999999E-3</v>
      </c>
      <c r="AJ54">
        <v>1.7779060000000001E-3</v>
      </c>
      <c r="AK54">
        <v>1.4331649999999999E-3</v>
      </c>
      <c r="AL54">
        <v>1.1884619999999999E-3</v>
      </c>
      <c r="AM54">
        <v>1.2019960000000001E-3</v>
      </c>
      <c r="AN54">
        <v>1.707921E-3</v>
      </c>
      <c r="AO54">
        <v>1.3962740000000001E-3</v>
      </c>
      <c r="AP54">
        <v>7.10357E-4</v>
      </c>
      <c r="AS54">
        <v>1.3818120000000001E-3</v>
      </c>
      <c r="AT54">
        <v>2.1912599999999999E-4</v>
      </c>
      <c r="AU54">
        <v>1.6000999999999999E-3</v>
      </c>
      <c r="AV54">
        <v>1.3348570000000001E-3</v>
      </c>
      <c r="AW54">
        <v>9.1456299999999996E-4</v>
      </c>
    </row>
    <row r="55" spans="1:49" x14ac:dyDescent="0.2">
      <c r="B55" t="s">
        <v>151</v>
      </c>
      <c r="C55">
        <v>1.2080194000000001E-2</v>
      </c>
      <c r="D55">
        <v>1.1294826000000001E-2</v>
      </c>
      <c r="E55">
        <v>1.4849731E-2</v>
      </c>
      <c r="F55">
        <v>1.6966842999999999E-2</v>
      </c>
      <c r="G55">
        <v>8.2855970000000004E-3</v>
      </c>
      <c r="H55">
        <v>7.5064989999999998E-3</v>
      </c>
      <c r="I55">
        <v>9.5354680000000001E-3</v>
      </c>
      <c r="J55">
        <v>1.0581604999999999E-2</v>
      </c>
      <c r="K55">
        <v>1.2814914E-2</v>
      </c>
      <c r="L55">
        <v>1.2421981E-2</v>
      </c>
      <c r="M55">
        <v>8.8300659999999993E-3</v>
      </c>
      <c r="O55">
        <v>1.1112745E-2</v>
      </c>
      <c r="Q55">
        <v>1.0934518000000001E-2</v>
      </c>
      <c r="R55">
        <v>6.212848E-3</v>
      </c>
      <c r="S55">
        <v>1.0677034E-2</v>
      </c>
      <c r="T55">
        <v>9.9995339999999992E-3</v>
      </c>
      <c r="U55">
        <v>1.3663254999999999E-2</v>
      </c>
      <c r="V55">
        <v>1.2274996999999999E-2</v>
      </c>
      <c r="W55">
        <v>1.0512699E-2</v>
      </c>
      <c r="X55">
        <v>1.1750082E-2</v>
      </c>
      <c r="Y55">
        <v>1.0924061000000001E-2</v>
      </c>
      <c r="Z55">
        <v>1.0856802E-2</v>
      </c>
      <c r="AA55">
        <v>9.6486850000000006E-3</v>
      </c>
      <c r="AB55">
        <v>1.264292E-2</v>
      </c>
      <c r="AC55">
        <v>1.0186713999999999E-2</v>
      </c>
      <c r="AD55">
        <v>1.1337686E-2</v>
      </c>
      <c r="AE55">
        <v>8.2047839999999997E-3</v>
      </c>
      <c r="AF55">
        <v>5.4464530000000004E-3</v>
      </c>
      <c r="AG55">
        <v>9.2947710000000003E-3</v>
      </c>
      <c r="AH55">
        <v>8.8808900000000007E-3</v>
      </c>
      <c r="AI55">
        <v>1.1789225E-2</v>
      </c>
      <c r="AJ55">
        <v>1.4696590000000001E-2</v>
      </c>
      <c r="AK55">
        <v>1.1660136E-2</v>
      </c>
      <c r="AL55">
        <v>6.3342559999999999E-3</v>
      </c>
      <c r="AM55">
        <v>8.5650959999999995E-3</v>
      </c>
      <c r="AN55">
        <v>1.3767797999999999E-2</v>
      </c>
      <c r="AO55">
        <v>1.0069928000000001E-2</v>
      </c>
      <c r="AP55">
        <v>1.0183875E-2</v>
      </c>
      <c r="AS55">
        <v>1.09637E-2</v>
      </c>
      <c r="AT55">
        <v>8.9179900000000006E-3</v>
      </c>
      <c r="AU55">
        <v>1.0884668E-2</v>
      </c>
      <c r="AV55">
        <v>1.4418946E-2</v>
      </c>
      <c r="AW55">
        <v>9.2030059999999997E-3</v>
      </c>
    </row>
    <row r="56" spans="1:49" x14ac:dyDescent="0.2">
      <c r="B56" t="s">
        <v>144</v>
      </c>
      <c r="C56">
        <v>6.3328560000000004E-3</v>
      </c>
      <c r="D56">
        <v>5.8948819999999997E-3</v>
      </c>
      <c r="E56">
        <v>7.066152E-3</v>
      </c>
      <c r="F56">
        <v>5.3150519999999998E-3</v>
      </c>
      <c r="G56">
        <v>3.4519820000000001E-3</v>
      </c>
      <c r="H56">
        <v>1.8224000000000001E-3</v>
      </c>
      <c r="I56">
        <v>6.5722050000000002E-3</v>
      </c>
      <c r="J56">
        <v>6.2134249999999999E-3</v>
      </c>
      <c r="K56">
        <v>6.3192530000000004E-3</v>
      </c>
      <c r="L56">
        <v>6.1692279999999997E-3</v>
      </c>
      <c r="M56">
        <v>4.3381160000000004E-3</v>
      </c>
      <c r="O56">
        <v>4.7061289999999999E-3</v>
      </c>
      <c r="Q56">
        <v>5.8233260000000002E-3</v>
      </c>
      <c r="R56">
        <v>2.069394E-3</v>
      </c>
      <c r="S56">
        <v>5.8614979999999997E-3</v>
      </c>
      <c r="T56">
        <v>4.4798650000000004E-3</v>
      </c>
      <c r="U56">
        <v>6.022103E-3</v>
      </c>
      <c r="V56">
        <v>4.9405940000000004E-3</v>
      </c>
      <c r="W56">
        <v>6.8392260000000003E-3</v>
      </c>
      <c r="X56">
        <v>6.3190859999999998E-3</v>
      </c>
      <c r="Y56">
        <v>6.5243480000000001E-3</v>
      </c>
      <c r="Z56">
        <v>5.7383149999999999E-3</v>
      </c>
      <c r="AA56">
        <v>4.6742809999999997E-3</v>
      </c>
      <c r="AB56">
        <v>5.1073530000000002E-3</v>
      </c>
      <c r="AC56">
        <v>5.5497589999999996E-3</v>
      </c>
      <c r="AD56">
        <v>5.9067340000000003E-3</v>
      </c>
      <c r="AE56">
        <v>3.636907E-3</v>
      </c>
      <c r="AF56">
        <v>1.888706E-3</v>
      </c>
      <c r="AG56">
        <v>6.0307360000000001E-3</v>
      </c>
      <c r="AH56">
        <v>6.2284009999999997E-3</v>
      </c>
      <c r="AI56">
        <v>8.3407789999999996E-3</v>
      </c>
      <c r="AJ56">
        <v>6.6700300000000004E-3</v>
      </c>
      <c r="AK56">
        <v>7.0990180000000003E-3</v>
      </c>
      <c r="AL56">
        <v>3.0494329999999998E-3</v>
      </c>
      <c r="AM56">
        <v>5.468695E-3</v>
      </c>
      <c r="AN56">
        <v>7.13205E-3</v>
      </c>
      <c r="AO56">
        <v>5.3731439999999998E-3</v>
      </c>
      <c r="AP56">
        <v>2.6365160000000002E-3</v>
      </c>
      <c r="AS56">
        <v>6.4679380000000003E-3</v>
      </c>
      <c r="AT56">
        <v>3.6407789999999998E-3</v>
      </c>
      <c r="AU56">
        <v>7.2825390000000002E-3</v>
      </c>
      <c r="AV56">
        <v>6.6356999999999996E-3</v>
      </c>
      <c r="AW56">
        <v>4.583274E-3</v>
      </c>
    </row>
    <row r="57" spans="1:49" x14ac:dyDescent="0.2">
      <c r="B57" t="s">
        <v>152</v>
      </c>
      <c r="C57">
        <v>9.1110489999999995E-3</v>
      </c>
      <c r="D57">
        <v>8.9263229999999999E-3</v>
      </c>
      <c r="E57">
        <v>1.4550924999999999E-2</v>
      </c>
      <c r="F57">
        <v>1.3399807999999999E-2</v>
      </c>
      <c r="G57">
        <v>6.6079629999999997E-3</v>
      </c>
      <c r="H57">
        <v>4.2901420000000003E-3</v>
      </c>
      <c r="I57">
        <v>8.3036959999999993E-3</v>
      </c>
      <c r="J57">
        <v>1.1333889999999999E-2</v>
      </c>
      <c r="K57">
        <v>8.9915069999999993E-3</v>
      </c>
      <c r="L57">
        <v>1.1345888E-2</v>
      </c>
      <c r="M57">
        <v>8.1708400000000004E-3</v>
      </c>
      <c r="O57">
        <v>9.7249429999999998E-3</v>
      </c>
      <c r="Q57">
        <v>8.9740419999999998E-3</v>
      </c>
      <c r="R57">
        <v>4.210681E-3</v>
      </c>
      <c r="S57">
        <v>8.1008220000000006E-3</v>
      </c>
      <c r="T57">
        <v>9.0399680000000007E-3</v>
      </c>
      <c r="U57">
        <v>9.3225549999999997E-3</v>
      </c>
      <c r="V57">
        <v>1.1658682E-2</v>
      </c>
      <c r="W57">
        <v>9.9945039999999995E-3</v>
      </c>
      <c r="X57">
        <v>9.6932670000000002E-3</v>
      </c>
      <c r="Y57">
        <v>1.1651567E-2</v>
      </c>
      <c r="Z57">
        <v>9.0487250000000005E-3</v>
      </c>
      <c r="AA57">
        <v>7.3083159999999996E-3</v>
      </c>
      <c r="AB57">
        <v>9.9555459999999991E-3</v>
      </c>
      <c r="AC57">
        <v>9.1712010000000004E-3</v>
      </c>
      <c r="AD57">
        <v>9.2572450000000008E-3</v>
      </c>
      <c r="AE57">
        <v>6.4160800000000002E-3</v>
      </c>
      <c r="AF57">
        <v>4.5213420000000002E-3</v>
      </c>
      <c r="AG57">
        <v>8.3109250000000003E-3</v>
      </c>
      <c r="AH57">
        <v>8.9201780000000008E-3</v>
      </c>
      <c r="AI57">
        <v>1.2779317E-2</v>
      </c>
      <c r="AJ57">
        <v>1.0729984E-2</v>
      </c>
      <c r="AK57">
        <v>1.019105E-2</v>
      </c>
      <c r="AL57">
        <v>5.5025630000000002E-3</v>
      </c>
      <c r="AM57">
        <v>7.9917779999999997E-3</v>
      </c>
      <c r="AN57">
        <v>1.3638727999999999E-2</v>
      </c>
      <c r="AO57">
        <v>7.1976729999999999E-3</v>
      </c>
      <c r="AP57">
        <v>5.1756650000000003E-3</v>
      </c>
      <c r="AS57">
        <v>9.8937009999999995E-3</v>
      </c>
      <c r="AT57">
        <v>4.4210480000000003E-3</v>
      </c>
      <c r="AU57">
        <v>1.4284702E-2</v>
      </c>
      <c r="AV57">
        <v>1.4933666E-2</v>
      </c>
      <c r="AW57">
        <v>8.8817600000000007E-3</v>
      </c>
    </row>
    <row r="58" spans="1:49" x14ac:dyDescent="0.2">
      <c r="B58" t="s">
        <v>145</v>
      </c>
      <c r="C58">
        <v>7.0457269999999999E-3</v>
      </c>
      <c r="D58">
        <v>5.6509139999999999E-3</v>
      </c>
      <c r="E58">
        <v>9.1046010000000004E-3</v>
      </c>
      <c r="F58">
        <v>8.2005919999999996E-3</v>
      </c>
      <c r="G58">
        <v>3.9908260000000003E-3</v>
      </c>
      <c r="H58">
        <v>2.1389270000000001E-3</v>
      </c>
      <c r="I58">
        <v>5.9506120000000001E-3</v>
      </c>
      <c r="J58">
        <v>5.371359E-3</v>
      </c>
      <c r="K58">
        <v>5.8571099999999996E-3</v>
      </c>
      <c r="L58">
        <v>7.662777E-3</v>
      </c>
      <c r="M58">
        <v>4.412366E-3</v>
      </c>
      <c r="O58">
        <v>5.8391329999999998E-3</v>
      </c>
      <c r="Q58">
        <v>8.1004379999999997E-3</v>
      </c>
      <c r="R58">
        <v>2.0777909999999998E-3</v>
      </c>
      <c r="S58">
        <v>5.0755260000000003E-3</v>
      </c>
      <c r="T58">
        <v>4.5766469999999997E-3</v>
      </c>
      <c r="U58">
        <v>7.5563399999999999E-3</v>
      </c>
      <c r="V58">
        <v>6.3007979999999998E-3</v>
      </c>
      <c r="W58">
        <v>8.1881650000000007E-3</v>
      </c>
      <c r="X58">
        <v>6.7494640000000002E-3</v>
      </c>
      <c r="Y58">
        <v>8.3953259999999998E-3</v>
      </c>
      <c r="Z58">
        <v>5.2918160000000004E-3</v>
      </c>
      <c r="AA58">
        <v>3.5064610000000002E-3</v>
      </c>
      <c r="AB58">
        <v>5.4834810000000001E-3</v>
      </c>
      <c r="AC58">
        <v>5.307081E-3</v>
      </c>
      <c r="AD58">
        <v>5.2737299999999999E-3</v>
      </c>
      <c r="AE58">
        <v>4.4564799999999996E-3</v>
      </c>
      <c r="AF58">
        <v>2.6658749999999998E-3</v>
      </c>
      <c r="AG58">
        <v>5.1922299999999999E-3</v>
      </c>
      <c r="AH58">
        <v>6.8464299999999997E-3</v>
      </c>
      <c r="AI58">
        <v>9.4914839999999997E-3</v>
      </c>
      <c r="AJ58">
        <v>7.2121379999999999E-3</v>
      </c>
      <c r="AK58">
        <v>7.2754020000000003E-3</v>
      </c>
      <c r="AL58">
        <v>2.3062040000000001E-3</v>
      </c>
      <c r="AM58">
        <v>6.5932550000000001E-3</v>
      </c>
      <c r="AN58">
        <v>1.0226308E-2</v>
      </c>
      <c r="AO58">
        <v>5.5734249999999999E-3</v>
      </c>
      <c r="AP58">
        <v>2.607163E-3</v>
      </c>
      <c r="AS58">
        <v>6.7338709999999998E-3</v>
      </c>
      <c r="AT58">
        <v>3.1645620000000001E-3</v>
      </c>
      <c r="AU58">
        <v>1.1310828E-2</v>
      </c>
      <c r="AV58">
        <v>1.0293523000000001E-2</v>
      </c>
      <c r="AW58">
        <v>5.8480609999999999E-3</v>
      </c>
    </row>
    <row r="59" spans="1:49" x14ac:dyDescent="0.2">
      <c r="B59" t="s">
        <v>184</v>
      </c>
      <c r="C59">
        <f>SUM(C52:C58)</f>
        <v>8.0196874000000001E-2</v>
      </c>
      <c r="D59">
        <f t="shared" ref="D59:AW59" si="10">SUM(D52:D58)</f>
        <v>8.0841263999999996E-2</v>
      </c>
      <c r="E59">
        <f t="shared" si="10"/>
        <v>0.12585655400000001</v>
      </c>
      <c r="F59">
        <f t="shared" si="10"/>
        <v>5.6945069999999993E-2</v>
      </c>
      <c r="G59">
        <f t="shared" si="10"/>
        <v>7.7397162000000005E-2</v>
      </c>
      <c r="H59">
        <f t="shared" si="10"/>
        <v>8.4883484999999995E-2</v>
      </c>
      <c r="I59">
        <f t="shared" si="10"/>
        <v>9.4858717999999995E-2</v>
      </c>
      <c r="J59">
        <f t="shared" si="10"/>
        <v>9.3468733999999998E-2</v>
      </c>
      <c r="K59">
        <f t="shared" si="10"/>
        <v>8.0753777999999998E-2</v>
      </c>
      <c r="L59">
        <f t="shared" si="10"/>
        <v>7.2540439999999998E-2</v>
      </c>
      <c r="M59">
        <f t="shared" si="10"/>
        <v>7.2559847000000011E-2</v>
      </c>
      <c r="O59">
        <f t="shared" si="10"/>
        <v>5.9787484000000002E-2</v>
      </c>
      <c r="Q59">
        <f t="shared" si="10"/>
        <v>7.0656932000000006E-2</v>
      </c>
      <c r="R59">
        <f t="shared" si="10"/>
        <v>0.10321778799999998</v>
      </c>
      <c r="S59">
        <f t="shared" si="10"/>
        <v>6.6529153000000008E-2</v>
      </c>
      <c r="T59">
        <f t="shared" si="10"/>
        <v>7.0594963999999996E-2</v>
      </c>
      <c r="U59">
        <f t="shared" si="10"/>
        <v>8.0307792999999988E-2</v>
      </c>
      <c r="V59">
        <f t="shared" si="10"/>
        <v>7.3489130999999985E-2</v>
      </c>
      <c r="W59">
        <f t="shared" si="10"/>
        <v>5.8684788000000002E-2</v>
      </c>
      <c r="X59">
        <f t="shared" si="10"/>
        <v>6.6753887999999997E-2</v>
      </c>
      <c r="Y59">
        <f t="shared" si="10"/>
        <v>6.2757086000000004E-2</v>
      </c>
      <c r="Z59">
        <f t="shared" si="10"/>
        <v>7.5463026000000016E-2</v>
      </c>
      <c r="AA59">
        <f t="shared" si="10"/>
        <v>7.3035426000000001E-2</v>
      </c>
      <c r="AB59">
        <f t="shared" si="10"/>
        <v>8.0489821999999989E-2</v>
      </c>
      <c r="AC59">
        <f t="shared" si="10"/>
        <v>7.2100138000000008E-2</v>
      </c>
      <c r="AD59">
        <f t="shared" si="10"/>
        <v>6.2386141999999999E-2</v>
      </c>
      <c r="AE59">
        <f t="shared" si="10"/>
        <v>5.9645762999999997E-2</v>
      </c>
      <c r="AF59">
        <f t="shared" si="10"/>
        <v>6.3399818999999996E-2</v>
      </c>
      <c r="AG59">
        <f t="shared" si="10"/>
        <v>7.2849760000000013E-2</v>
      </c>
      <c r="AH59">
        <f t="shared" si="10"/>
        <v>8.8764472999999997E-2</v>
      </c>
      <c r="AI59">
        <f t="shared" si="10"/>
        <v>7.9835883999999996E-2</v>
      </c>
      <c r="AJ59">
        <f t="shared" si="10"/>
        <v>9.6013034999999997E-2</v>
      </c>
      <c r="AK59">
        <f t="shared" si="10"/>
        <v>9.4667298999999996E-2</v>
      </c>
      <c r="AL59">
        <f t="shared" si="10"/>
        <v>7.4345588000000018E-2</v>
      </c>
      <c r="AM59">
        <f t="shared" si="10"/>
        <v>6.0722556000000004E-2</v>
      </c>
      <c r="AN59">
        <f t="shared" si="10"/>
        <v>7.0622457E-2</v>
      </c>
      <c r="AO59">
        <f t="shared" si="10"/>
        <v>7.0786594000000008E-2</v>
      </c>
      <c r="AP59">
        <f t="shared" si="10"/>
        <v>8.2367371999999994E-2</v>
      </c>
      <c r="AS59">
        <f t="shared" si="10"/>
        <v>8.5801131000000017E-2</v>
      </c>
      <c r="AT59">
        <f t="shared" si="10"/>
        <v>8.4679001999999989E-2</v>
      </c>
      <c r="AU59">
        <f t="shared" si="10"/>
        <v>7.0035141999999995E-2</v>
      </c>
      <c r="AV59">
        <f t="shared" si="10"/>
        <v>6.9396262E-2</v>
      </c>
      <c r="AW59">
        <f t="shared" si="10"/>
        <v>5.6626933000000004E-2</v>
      </c>
    </row>
    <row r="61" spans="1:49" x14ac:dyDescent="0.2">
      <c r="B61" s="1" t="s">
        <v>104</v>
      </c>
      <c r="C61" s="1"/>
      <c r="D61" s="1"/>
      <c r="E61" s="1"/>
      <c r="F61" s="1"/>
    </row>
    <row r="62" spans="1:49" x14ac:dyDescent="0.2">
      <c r="C62" t="s">
        <v>46</v>
      </c>
      <c r="D62" t="s">
        <v>47</v>
      </c>
      <c r="E62" t="s">
        <v>48</v>
      </c>
      <c r="F62" t="s">
        <v>49</v>
      </c>
      <c r="G62" t="s">
        <v>50</v>
      </c>
      <c r="H62" t="s">
        <v>51</v>
      </c>
      <c r="I62" t="s">
        <v>52</v>
      </c>
      <c r="J62" t="s">
        <v>53</v>
      </c>
      <c r="K62" t="s">
        <v>54</v>
      </c>
      <c r="L62" t="s">
        <v>55</v>
      </c>
      <c r="M62" t="s">
        <v>56</v>
      </c>
      <c r="O62" t="s">
        <v>57</v>
      </c>
      <c r="Q62" t="s">
        <v>58</v>
      </c>
      <c r="R62" t="s">
        <v>59</v>
      </c>
      <c r="S62" t="s">
        <v>60</v>
      </c>
      <c r="T62" t="s">
        <v>61</v>
      </c>
      <c r="U62" t="s">
        <v>62</v>
      </c>
      <c r="V62" t="s">
        <v>63</v>
      </c>
      <c r="W62" t="s">
        <v>64</v>
      </c>
      <c r="X62" t="s">
        <v>65</v>
      </c>
      <c r="Y62" t="s">
        <v>66</v>
      </c>
      <c r="Z62" t="s">
        <v>67</v>
      </c>
      <c r="AA62" t="s">
        <v>68</v>
      </c>
      <c r="AB62" t="s">
        <v>69</v>
      </c>
      <c r="AC62" t="s">
        <v>70</v>
      </c>
      <c r="AD62" t="s">
        <v>71</v>
      </c>
      <c r="AE62" t="s">
        <v>72</v>
      </c>
      <c r="AF62" t="s">
        <v>73</v>
      </c>
      <c r="AG62" t="s">
        <v>74</v>
      </c>
      <c r="AH62" t="s">
        <v>75</v>
      </c>
      <c r="AI62" t="s">
        <v>76</v>
      </c>
      <c r="AJ62" t="s">
        <v>77</v>
      </c>
      <c r="AK62" t="s">
        <v>78</v>
      </c>
      <c r="AL62" t="s">
        <v>79</v>
      </c>
      <c r="AM62" t="s">
        <v>80</v>
      </c>
      <c r="AN62" t="s">
        <v>81</v>
      </c>
      <c r="AO62" t="s">
        <v>82</v>
      </c>
      <c r="AP62" t="s">
        <v>83</v>
      </c>
      <c r="AS62" t="s">
        <v>84</v>
      </c>
      <c r="AT62" t="s">
        <v>85</v>
      </c>
      <c r="AU62" t="s">
        <v>86</v>
      </c>
      <c r="AV62" t="s">
        <v>87</v>
      </c>
      <c r="AW62" t="s">
        <v>88</v>
      </c>
    </row>
    <row r="63" spans="1:49" x14ac:dyDescent="0.2">
      <c r="A63" t="s">
        <v>161</v>
      </c>
      <c r="B63" t="s">
        <v>89</v>
      </c>
      <c r="C63" t="s">
        <v>90</v>
      </c>
      <c r="D63" t="s">
        <v>90</v>
      </c>
      <c r="E63" t="s">
        <v>90</v>
      </c>
      <c r="F63" t="s">
        <v>90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O63" t="s">
        <v>4</v>
      </c>
      <c r="Q63" t="s">
        <v>4</v>
      </c>
      <c r="R63" t="s">
        <v>4</v>
      </c>
      <c r="S63" t="s">
        <v>4</v>
      </c>
      <c r="T63" t="s">
        <v>4</v>
      </c>
      <c r="U63" t="s">
        <v>4</v>
      </c>
      <c r="V63" t="s">
        <v>4</v>
      </c>
      <c r="W63" t="s">
        <v>4</v>
      </c>
      <c r="X63" t="s">
        <v>4</v>
      </c>
      <c r="Y63" t="s">
        <v>4</v>
      </c>
      <c r="Z63" t="s">
        <v>4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3</v>
      </c>
      <c r="AN63" t="s">
        <v>3</v>
      </c>
      <c r="AO63" t="s">
        <v>3</v>
      </c>
      <c r="AP63" t="s">
        <v>3</v>
      </c>
      <c r="AS63" t="s">
        <v>3</v>
      </c>
      <c r="AT63" t="s">
        <v>3</v>
      </c>
      <c r="AU63" t="s">
        <v>3</v>
      </c>
      <c r="AV63" t="s">
        <v>3</v>
      </c>
      <c r="AW63" t="s">
        <v>3</v>
      </c>
    </row>
    <row r="64" spans="1:49" x14ac:dyDescent="0.2">
      <c r="A64" t="s">
        <v>162</v>
      </c>
      <c r="B64" t="s">
        <v>141</v>
      </c>
      <c r="C64">
        <v>-0.72809777712373003</v>
      </c>
      <c r="D64">
        <v>-0.30104125192099102</v>
      </c>
      <c r="E64">
        <v>-4.5855916281535798E-2</v>
      </c>
      <c r="F64">
        <v>-3.2556796534572201</v>
      </c>
      <c r="G64">
        <v>0.901034870667342</v>
      </c>
      <c r="H64">
        <v>0.97146522886791897</v>
      </c>
      <c r="I64">
        <v>0.492371843156994</v>
      </c>
      <c r="J64">
        <v>0.35310614247300398</v>
      </c>
      <c r="K64">
        <v>-0.52270750066286198</v>
      </c>
      <c r="L64">
        <v>4.8592412349223901E-2</v>
      </c>
      <c r="M64">
        <v>0.191677969929507</v>
      </c>
      <c r="O64">
        <v>0.42293183892117803</v>
      </c>
      <c r="Q64">
        <v>-0.27777634968472298</v>
      </c>
      <c r="R64">
        <v>0.10617113338904401</v>
      </c>
      <c r="S64">
        <v>0.86980537757148602</v>
      </c>
      <c r="T64">
        <v>1.1507431096306999</v>
      </c>
      <c r="U64">
        <v>2.0045006625619601</v>
      </c>
      <c r="V64">
        <v>0.862488600503306</v>
      </c>
      <c r="W64">
        <v>0.61516547284933998</v>
      </c>
      <c r="X64">
        <v>1.1102154020767501</v>
      </c>
      <c r="Y64">
        <v>-0.333639593353865</v>
      </c>
      <c r="Z64">
        <v>-0.27337368006517798</v>
      </c>
      <c r="AA64">
        <v>0.35100982132592101</v>
      </c>
      <c r="AB64">
        <v>-0.23907487285332699</v>
      </c>
      <c r="AC64">
        <v>-1.84061664684837</v>
      </c>
      <c r="AD64">
        <v>1.44686396987231</v>
      </c>
      <c r="AE64">
        <v>0.463804060455135</v>
      </c>
      <c r="AF64">
        <v>1.6395216656690901</v>
      </c>
      <c r="AG64">
        <v>-1.0538936048462899</v>
      </c>
      <c r="AH64">
        <v>5.6535648191614898E-2</v>
      </c>
      <c r="AI64">
        <v>-1.25225640446801</v>
      </c>
      <c r="AJ64">
        <v>0.31900904540931302</v>
      </c>
      <c r="AK64">
        <v>-0.36808993797905398</v>
      </c>
      <c r="AL64">
        <v>-0.26215150467178799</v>
      </c>
      <c r="AM64">
        <v>-1.00623565151072</v>
      </c>
      <c r="AN64">
        <v>-0.14090021467424499</v>
      </c>
      <c r="AO64">
        <v>0.59778211620335497</v>
      </c>
      <c r="AP64">
        <v>-0.81363802106468297</v>
      </c>
      <c r="AS64">
        <v>0.67243753406366702</v>
      </c>
      <c r="AT64">
        <v>2.20364200683284</v>
      </c>
      <c r="AU64">
        <v>-0.69181676501615397</v>
      </c>
      <c r="AV64">
        <v>-4.1257536484199004</v>
      </c>
      <c r="AW64">
        <v>-0.31827693806834501</v>
      </c>
    </row>
    <row r="65" spans="1:49" x14ac:dyDescent="0.2">
      <c r="A65" t="s">
        <v>162</v>
      </c>
      <c r="B65" t="s">
        <v>142</v>
      </c>
      <c r="C65">
        <v>-0.29311784379393302</v>
      </c>
      <c r="D65">
        <v>0.19584179403120899</v>
      </c>
      <c r="E65">
        <v>0.23122430055010099</v>
      </c>
      <c r="F65">
        <v>-2.05437204166638</v>
      </c>
      <c r="G65">
        <v>0.79841830757809296</v>
      </c>
      <c r="H65">
        <v>1.5804799547330599</v>
      </c>
      <c r="I65">
        <v>0.508175690224142</v>
      </c>
      <c r="J65">
        <v>0.68965017278253005</v>
      </c>
      <c r="K65">
        <v>7.8935266378530003E-2</v>
      </c>
      <c r="L65">
        <v>-0.30085599798715201</v>
      </c>
      <c r="M65">
        <v>0.29552832503455601</v>
      </c>
      <c r="O65">
        <v>0.19221719944782401</v>
      </c>
      <c r="Q65">
        <v>-0.49140590489270303</v>
      </c>
      <c r="R65">
        <v>0.564820117985395</v>
      </c>
      <c r="S65">
        <v>0.27971397183659202</v>
      </c>
      <c r="T65">
        <v>-0.17555697246965199</v>
      </c>
      <c r="U65">
        <v>1.66741606808756</v>
      </c>
      <c r="V65">
        <v>3.79590413903216E-2</v>
      </c>
      <c r="W65">
        <v>1.2580281641870099E-2</v>
      </c>
      <c r="X65">
        <v>1.2126728461510099</v>
      </c>
      <c r="Y65">
        <v>-4.34798330214492E-4</v>
      </c>
      <c r="Z65">
        <v>-0.91452298094427698</v>
      </c>
      <c r="AA65">
        <v>-1.32502995007261E-2</v>
      </c>
      <c r="AB65">
        <v>-0.14353566374443799</v>
      </c>
      <c r="AC65">
        <v>-1.3638750893179199</v>
      </c>
      <c r="AD65">
        <v>2.0569960485449701</v>
      </c>
      <c r="AE65">
        <v>0.39575130365198202</v>
      </c>
      <c r="AF65">
        <v>1.6777568596577399</v>
      </c>
      <c r="AG65">
        <v>-1.4674260791731499</v>
      </c>
      <c r="AH65">
        <v>-0.58038528680492096</v>
      </c>
      <c r="AI65">
        <v>-0.56556957082778403</v>
      </c>
      <c r="AJ65">
        <v>-0.74915480542088098</v>
      </c>
      <c r="AK65">
        <v>-0.496165084238402</v>
      </c>
      <c r="AL65">
        <v>-1.3142099428434899</v>
      </c>
      <c r="AM65">
        <v>-0.98505021724476505</v>
      </c>
      <c r="AN65">
        <v>-0.56929167797677505</v>
      </c>
      <c r="AO65">
        <v>-0.114154314801808</v>
      </c>
      <c r="AP65">
        <v>-1.0542200993144299</v>
      </c>
      <c r="AS65">
        <v>0.223451682715471</v>
      </c>
      <c r="AT65">
        <v>2.3147010899603702</v>
      </c>
      <c r="AU65">
        <v>-0.38519601940529802</v>
      </c>
      <c r="AV65">
        <v>-4.3591120333585899E-2</v>
      </c>
      <c r="AW65">
        <v>-0.93894851135064905</v>
      </c>
    </row>
    <row r="66" spans="1:49" x14ac:dyDescent="0.2">
      <c r="A66" t="s">
        <v>162</v>
      </c>
      <c r="B66" t="s">
        <v>143</v>
      </c>
      <c r="C66">
        <v>-0.23407941915814501</v>
      </c>
      <c r="D66">
        <v>0.29206519808334702</v>
      </c>
      <c r="E66">
        <v>0.19819204931235701</v>
      </c>
      <c r="F66">
        <v>9.7677507686881507E-2</v>
      </c>
      <c r="G66">
        <v>0.107964876499984</v>
      </c>
      <c r="H66">
        <v>0.116831463636792</v>
      </c>
      <c r="I66">
        <v>-9.7195328555713306E-2</v>
      </c>
      <c r="J66">
        <v>-7.3172845997735103E-2</v>
      </c>
      <c r="K66">
        <v>0.21009080388603499</v>
      </c>
      <c r="L66">
        <v>0.64281110732199898</v>
      </c>
      <c r="M66">
        <v>-0.35664625200288302</v>
      </c>
      <c r="O66">
        <v>-0.27677138819472502</v>
      </c>
      <c r="Q66">
        <v>-3.6952255222126203E-2</v>
      </c>
      <c r="R66">
        <v>-3.9137701291018803E-2</v>
      </c>
      <c r="S66">
        <v>0.59274249553412695</v>
      </c>
      <c r="T66">
        <v>-0.93294965055058499</v>
      </c>
      <c r="U66">
        <v>-0.31039912135801101</v>
      </c>
      <c r="V66">
        <v>0.49581658275516499</v>
      </c>
      <c r="W66">
        <v>-0.12575014438419199</v>
      </c>
      <c r="X66">
        <v>1.38062465641606</v>
      </c>
      <c r="Y66">
        <v>0.34461472597098097</v>
      </c>
      <c r="Z66">
        <v>-9.1065158131062807E-2</v>
      </c>
      <c r="AA66">
        <v>-4.5222869693600197E-2</v>
      </c>
      <c r="AB66">
        <v>0.236595026026303</v>
      </c>
      <c r="AC66">
        <v>-0.20983373184569901</v>
      </c>
      <c r="AD66">
        <v>-2.04203453048732</v>
      </c>
      <c r="AE66">
        <v>0.40791441653030702</v>
      </c>
      <c r="AF66">
        <v>0.61114064083034503</v>
      </c>
      <c r="AG66">
        <v>-9.0988725171339602E-2</v>
      </c>
      <c r="AH66">
        <v>-0.469586582929927</v>
      </c>
      <c r="AI66">
        <v>-0.18087770620967999</v>
      </c>
      <c r="AJ66">
        <v>-0.20593577162496901</v>
      </c>
      <c r="AK66">
        <v>-0.30383839047036898</v>
      </c>
      <c r="AL66">
        <v>-0.10835348561689501</v>
      </c>
      <c r="AM66">
        <v>-0.53947973445571995</v>
      </c>
      <c r="AN66">
        <v>-6.3847872583468399E-2</v>
      </c>
      <c r="AO66">
        <v>0.206174021410198</v>
      </c>
      <c r="AP66">
        <v>0.11970456400363499</v>
      </c>
      <c r="AS66">
        <v>1.22855516800669</v>
      </c>
      <c r="AT66">
        <v>-0.77771542012484995</v>
      </c>
      <c r="AU66">
        <v>-5.3941054341376402E-2</v>
      </c>
      <c r="AV66">
        <v>-7.0790779086198102E-2</v>
      </c>
      <c r="AW66">
        <v>0.44705061557641201</v>
      </c>
    </row>
    <row r="67" spans="1:49" x14ac:dyDescent="0.2">
      <c r="A67" t="s">
        <v>162</v>
      </c>
      <c r="B67" t="s">
        <v>151</v>
      </c>
      <c r="C67">
        <v>-0.37976018934602901</v>
      </c>
      <c r="D67">
        <v>5.7384381919893597E-2</v>
      </c>
      <c r="E67">
        <v>-0.41141005429998601</v>
      </c>
      <c r="F67">
        <v>0.84014287127065201</v>
      </c>
      <c r="G67">
        <v>2.02057195414686E-2</v>
      </c>
      <c r="H67">
        <v>0.41090606256764001</v>
      </c>
      <c r="I67">
        <v>-0.50460663658803295</v>
      </c>
      <c r="J67">
        <v>0.19320781816597701</v>
      </c>
      <c r="K67">
        <v>0.29322154050928101</v>
      </c>
      <c r="L67">
        <v>0.42776965566630698</v>
      </c>
      <c r="M67">
        <v>-0.258101882800371</v>
      </c>
      <c r="O67">
        <v>1.38480300449413E-2</v>
      </c>
      <c r="Q67">
        <v>0.19064079312862101</v>
      </c>
      <c r="R67">
        <v>0.31115359606597698</v>
      </c>
      <c r="S67">
        <v>0.67482186121427001</v>
      </c>
      <c r="T67">
        <v>-0.18361721487357699</v>
      </c>
      <c r="U67">
        <v>0.71491499219996302</v>
      </c>
      <c r="V67">
        <v>-1.0420007234270301</v>
      </c>
      <c r="W67">
        <v>-0.34792891338889798</v>
      </c>
      <c r="X67">
        <v>-6.7733754351926495E-2</v>
      </c>
      <c r="Y67">
        <v>5.1990662896799503E-2</v>
      </c>
      <c r="Z67">
        <v>-0.82606238236824903</v>
      </c>
      <c r="AA67">
        <v>-0.40992172658814902</v>
      </c>
      <c r="AB67">
        <v>-0.38362293809819897</v>
      </c>
      <c r="AC67">
        <v>-0.94093080030180798</v>
      </c>
      <c r="AD67">
        <v>1.7615946172147201</v>
      </c>
      <c r="AE67">
        <v>7.1548140721855197E-2</v>
      </c>
      <c r="AF67">
        <v>1.6531036696579799</v>
      </c>
      <c r="AG67">
        <v>-0.41330514801397999</v>
      </c>
      <c r="AH67">
        <v>-0.21853329279217201</v>
      </c>
      <c r="AI67">
        <v>-0.79993157240763901</v>
      </c>
      <c r="AJ67">
        <v>2.8076160688401099E-2</v>
      </c>
      <c r="AK67">
        <v>-0.37722152890111699</v>
      </c>
      <c r="AL67">
        <v>0.29041262158050701</v>
      </c>
      <c r="AM67">
        <v>-0.239662229167492</v>
      </c>
      <c r="AN67">
        <v>-0.26682320322254899</v>
      </c>
      <c r="AO67">
        <v>-0.25918668089061098</v>
      </c>
      <c r="AP67">
        <v>-0.17553000523985399</v>
      </c>
      <c r="AS67">
        <v>0.78517343292077302</v>
      </c>
      <c r="AT67">
        <v>0.56488440952559804</v>
      </c>
      <c r="AU67">
        <v>-0.104353676089596</v>
      </c>
      <c r="AV67">
        <v>-0.26292730090471</v>
      </c>
      <c r="AW67">
        <v>-0.48182918343965397</v>
      </c>
    </row>
    <row r="68" spans="1:49" x14ac:dyDescent="0.2">
      <c r="A68" t="s">
        <v>162</v>
      </c>
      <c r="B68" t="s">
        <v>144</v>
      </c>
      <c r="C68">
        <v>-0.23851286945175301</v>
      </c>
      <c r="D68">
        <v>0.245178575143807</v>
      </c>
      <c r="E68">
        <v>-0.54475419879473796</v>
      </c>
      <c r="F68">
        <v>-0.291275077226608</v>
      </c>
      <c r="G68">
        <v>-0.425890550266743</v>
      </c>
      <c r="H68">
        <v>-1.48985467930222</v>
      </c>
      <c r="I68">
        <v>0.38359870237841998</v>
      </c>
      <c r="J68">
        <v>0.72827294668550302</v>
      </c>
      <c r="K68">
        <v>0.35442572962833502</v>
      </c>
      <c r="L68">
        <v>0.52697714376315097</v>
      </c>
      <c r="M68">
        <v>-0.28161245335072399</v>
      </c>
      <c r="O68">
        <v>-0.26009127884001698</v>
      </c>
      <c r="Q68">
        <v>0.39144052902245202</v>
      </c>
      <c r="R68">
        <v>0.32526756313143201</v>
      </c>
      <c r="S68">
        <v>0.23090807115631001</v>
      </c>
      <c r="T68">
        <v>9.1502299351992195E-2</v>
      </c>
      <c r="U68">
        <v>-0.14968133528473199</v>
      </c>
      <c r="V68">
        <v>-0.177737334984468</v>
      </c>
      <c r="W68">
        <v>0.392779386398251</v>
      </c>
      <c r="X68">
        <v>-0.122217263103991</v>
      </c>
      <c r="Y68">
        <v>-0.150954429227287</v>
      </c>
      <c r="Z68">
        <v>9.17521114248534E-2</v>
      </c>
      <c r="AA68">
        <v>5.68488634384599E-2</v>
      </c>
      <c r="AB68">
        <v>-0.19356120686400299</v>
      </c>
      <c r="AC68">
        <v>-0.19448303084497601</v>
      </c>
      <c r="AD68">
        <v>1.49366691391759</v>
      </c>
      <c r="AE68">
        <v>0.691206082259333</v>
      </c>
      <c r="AF68">
        <v>9.9241185747157207E-2</v>
      </c>
      <c r="AG68">
        <v>-0.309845834179447</v>
      </c>
      <c r="AH68">
        <v>-0.198731804593616</v>
      </c>
      <c r="AI68">
        <v>-0.16503887222619101</v>
      </c>
      <c r="AJ68">
        <v>-0.37134202146524398</v>
      </c>
      <c r="AK68">
        <v>-0.19163460429239701</v>
      </c>
      <c r="AL68">
        <v>0.158451853869816</v>
      </c>
      <c r="AM68">
        <v>0.28441612770449398</v>
      </c>
      <c r="AN68">
        <v>-0.84794628838285402</v>
      </c>
      <c r="AO68">
        <v>-0.54025353040525503</v>
      </c>
      <c r="AP68">
        <v>0.59588980680515202</v>
      </c>
      <c r="AS68">
        <v>1.21226502229021</v>
      </c>
      <c r="AT68">
        <v>-0.432403652755043</v>
      </c>
      <c r="AU68">
        <v>-0.41011435629020798</v>
      </c>
      <c r="AV68">
        <v>-8.3065349764504304E-2</v>
      </c>
      <c r="AW68">
        <v>-0.28308689221970601</v>
      </c>
    </row>
    <row r="69" spans="1:49" x14ac:dyDescent="0.2">
      <c r="A69" t="s">
        <v>162</v>
      </c>
      <c r="B69" t="s">
        <v>152</v>
      </c>
      <c r="C69">
        <v>-0.76531773738935305</v>
      </c>
      <c r="D69">
        <v>-0.107389980863189</v>
      </c>
      <c r="E69">
        <v>-3.5856161390741603E-2</v>
      </c>
      <c r="F69">
        <v>0.82341694923188502</v>
      </c>
      <c r="G69">
        <v>-0.12503284272099299</v>
      </c>
      <c r="H69">
        <v>-0.63604569419634005</v>
      </c>
      <c r="I69">
        <v>-0.49273900576323898</v>
      </c>
      <c r="J69">
        <v>0.94553252974825597</v>
      </c>
      <c r="K69">
        <v>-0.17509518997698101</v>
      </c>
      <c r="L69">
        <v>0.758180619396712</v>
      </c>
      <c r="M69">
        <v>-2.0997081920090602E-2</v>
      </c>
      <c r="O69">
        <v>-0.190250960303157</v>
      </c>
      <c r="Q69">
        <v>0.14700064519497499</v>
      </c>
      <c r="R69">
        <v>7.05503891987007E-2</v>
      </c>
      <c r="S69">
        <v>0.61776911696463399</v>
      </c>
      <c r="T69">
        <v>-1.26165696053384E-2</v>
      </c>
      <c r="U69">
        <v>0.82033584494142497</v>
      </c>
      <c r="V69">
        <v>-0.71480649602827195</v>
      </c>
      <c r="W69">
        <v>-0.2285452984735</v>
      </c>
      <c r="X69">
        <v>2.0721228406478699E-2</v>
      </c>
      <c r="Y69">
        <v>-0.34604477187527799</v>
      </c>
      <c r="Z69">
        <v>-0.23405702956049501</v>
      </c>
      <c r="AA69">
        <v>-0.275486908870476</v>
      </c>
      <c r="AB69">
        <v>-0.92736022092054404</v>
      </c>
      <c r="AC69">
        <v>0.189426880882474</v>
      </c>
      <c r="AD69">
        <v>0.55663942016210699</v>
      </c>
      <c r="AE69">
        <v>0.20455823818443999</v>
      </c>
      <c r="AF69">
        <v>0.50020455419935705</v>
      </c>
      <c r="AG69">
        <v>-6.1435996700256899E-3</v>
      </c>
      <c r="AH69">
        <v>0.14943240580665501</v>
      </c>
      <c r="AI69">
        <v>-0.64233489570745606</v>
      </c>
      <c r="AJ69">
        <v>0.156467850063568</v>
      </c>
      <c r="AK69">
        <v>-0.51465502104320004</v>
      </c>
      <c r="AL69">
        <v>0.96287549983196397</v>
      </c>
      <c r="AM69">
        <v>0.41735622695049901</v>
      </c>
      <c r="AN69">
        <v>4.5041188118443598E-2</v>
      </c>
      <c r="AO69">
        <v>-9.0557419672949904E-2</v>
      </c>
      <c r="AP69">
        <v>0.156661324915395</v>
      </c>
      <c r="AS69">
        <v>0.64035408350942802</v>
      </c>
      <c r="AT69">
        <v>4.7037694672698402E-2</v>
      </c>
      <c r="AU69">
        <v>-0.73078185322830103</v>
      </c>
      <c r="AV69">
        <v>-0.33325615995298202</v>
      </c>
      <c r="AW69">
        <v>-0.62419179124719504</v>
      </c>
    </row>
    <row r="70" spans="1:49" x14ac:dyDescent="0.2">
      <c r="A70" t="s">
        <v>162</v>
      </c>
      <c r="B70" t="s">
        <v>145</v>
      </c>
      <c r="C70">
        <v>-0.191947197563544</v>
      </c>
      <c r="D70">
        <v>-0.12578285244458901</v>
      </c>
      <c r="E70">
        <v>-9.1232069599844007E-2</v>
      </c>
      <c r="F70">
        <v>0.64497547564184998</v>
      </c>
      <c r="G70">
        <v>-0.27005390745422397</v>
      </c>
      <c r="H70">
        <v>-1.2645322288283001</v>
      </c>
      <c r="I70">
        <v>-0.14614561807735299</v>
      </c>
      <c r="J70">
        <v>6.3598294076036593E-2</v>
      </c>
      <c r="K70">
        <v>-0.11094328069716899</v>
      </c>
      <c r="L70">
        <v>0.85223045887798199</v>
      </c>
      <c r="M70">
        <v>-0.47756000466235998</v>
      </c>
      <c r="O70">
        <v>4.9343218157919297E-2</v>
      </c>
      <c r="Q70">
        <v>-0.17654425536571899</v>
      </c>
      <c r="R70">
        <v>-0.71392142302279105</v>
      </c>
      <c r="S70">
        <v>0.168177116433193</v>
      </c>
      <c r="T70">
        <v>-0.28199030755674998</v>
      </c>
      <c r="U70">
        <v>0.54095053294347895</v>
      </c>
      <c r="V70">
        <v>-0.165565207132951</v>
      </c>
      <c r="W70">
        <v>-0.27398690503333401</v>
      </c>
      <c r="X70">
        <v>-1.1273878484789699</v>
      </c>
      <c r="Y70">
        <v>-0.18422975072560299</v>
      </c>
      <c r="Z70">
        <v>0.19078761950967499</v>
      </c>
      <c r="AA70">
        <v>-8.4800944653762506E-2</v>
      </c>
      <c r="AB70">
        <v>-0.338552013844727</v>
      </c>
      <c r="AC70">
        <v>0.75715350494620304</v>
      </c>
      <c r="AD70">
        <v>0.82331474227744095</v>
      </c>
      <c r="AE70">
        <v>0.48979845217201501</v>
      </c>
      <c r="AF70">
        <v>-0.18341039228397299</v>
      </c>
      <c r="AG70">
        <v>0.42778681402083102</v>
      </c>
      <c r="AH70">
        <v>0.218999711678247</v>
      </c>
      <c r="AI70">
        <v>9.7795357119172102E-2</v>
      </c>
      <c r="AJ70">
        <v>-2.4999380645872302E-2</v>
      </c>
      <c r="AK70">
        <v>0.46047572201729098</v>
      </c>
      <c r="AL70">
        <v>1.0973038889310101</v>
      </c>
      <c r="AM70">
        <v>0.71214145592378897</v>
      </c>
      <c r="AN70">
        <v>-0.41421911282730101</v>
      </c>
      <c r="AO70">
        <v>-0.71732149845157001</v>
      </c>
      <c r="AP70">
        <v>0.81937189704932201</v>
      </c>
      <c r="AS70">
        <v>0.53914057072614796</v>
      </c>
      <c r="AT70">
        <v>-0.65941649156006998</v>
      </c>
      <c r="AU70">
        <v>-3.22179232907229E-2</v>
      </c>
      <c r="AV70">
        <v>-0.55047300503099394</v>
      </c>
      <c r="AW70">
        <v>-0.34611121326910099</v>
      </c>
    </row>
    <row r="71" spans="1:49" x14ac:dyDescent="0.2">
      <c r="A71" t="s">
        <v>163</v>
      </c>
      <c r="B71" t="s">
        <v>153</v>
      </c>
      <c r="C71">
        <v>-0.77639603079863195</v>
      </c>
      <c r="D71">
        <v>-0.36052728446585403</v>
      </c>
      <c r="E71">
        <v>-1.7544848500185899</v>
      </c>
      <c r="F71">
        <v>0.16673758945959799</v>
      </c>
      <c r="G71">
        <v>0.19278005821939601</v>
      </c>
      <c r="H71">
        <v>-0.178479538265711</v>
      </c>
      <c r="I71">
        <v>7.3281527190728404E-2</v>
      </c>
      <c r="J71">
        <v>-0.277820495585892</v>
      </c>
      <c r="K71">
        <v>-0.44234746724624902</v>
      </c>
      <c r="L71">
        <v>-0.15833170263538801</v>
      </c>
      <c r="M71">
        <v>0.33848236552262001</v>
      </c>
      <c r="O71">
        <v>0.71723725055841003</v>
      </c>
      <c r="Q71">
        <v>-4.5762979082128202E-2</v>
      </c>
      <c r="R71">
        <v>0.60629962495863998</v>
      </c>
      <c r="S71">
        <v>0.34498968266980401</v>
      </c>
      <c r="T71">
        <v>0.24241893006210499</v>
      </c>
      <c r="U71">
        <v>1.2733670290232499</v>
      </c>
      <c r="V71">
        <v>-0.54691265838561598</v>
      </c>
      <c r="W71">
        <v>0.30638137014033701</v>
      </c>
      <c r="X71">
        <v>1.2639541360391</v>
      </c>
      <c r="Y71">
        <v>-1.0533606846280299</v>
      </c>
      <c r="Z71">
        <v>-0.808457833704878</v>
      </c>
      <c r="AA71">
        <v>-0.37673959124541601</v>
      </c>
      <c r="AB71">
        <v>-0.59574521118355706</v>
      </c>
      <c r="AC71">
        <v>-0.39283753880955702</v>
      </c>
      <c r="AD71">
        <v>0.74566021516746195</v>
      </c>
      <c r="AE71">
        <v>-0.23978345901888901</v>
      </c>
      <c r="AF71">
        <v>1.5228760391891001</v>
      </c>
      <c r="AG71">
        <v>-0.71856280227672997</v>
      </c>
      <c r="AH71">
        <v>0.44505240268109603</v>
      </c>
      <c r="AI71">
        <v>0.43048678068440399</v>
      </c>
      <c r="AJ71">
        <v>0.73351926325122296</v>
      </c>
      <c r="AK71">
        <v>-0.59262965047327398</v>
      </c>
      <c r="AL71">
        <v>-0.67764326113314099</v>
      </c>
      <c r="AM71">
        <v>-0.52293946851856199</v>
      </c>
      <c r="AN71">
        <v>9.4265524579441595E-2</v>
      </c>
      <c r="AO71">
        <v>0.44917250125585301</v>
      </c>
      <c r="AP71">
        <v>8.6579384787599994E-2</v>
      </c>
      <c r="AS71">
        <v>0.89901875150944799</v>
      </c>
      <c r="AT71">
        <v>0.77146902045949595</v>
      </c>
      <c r="AU71">
        <v>-0.82820376945424001</v>
      </c>
      <c r="AV71">
        <v>0.19157149708496099</v>
      </c>
      <c r="AW71">
        <v>-0.54763466756374801</v>
      </c>
    </row>
    <row r="72" spans="1:49" x14ac:dyDescent="0.2">
      <c r="A72" t="s">
        <v>163</v>
      </c>
      <c r="B72" t="s">
        <v>147</v>
      </c>
      <c r="C72">
        <v>-0.60787208560754602</v>
      </c>
      <c r="D72">
        <v>7.1530669091934201E-2</v>
      </c>
      <c r="E72">
        <v>-1.1000572807317399</v>
      </c>
      <c r="F72">
        <v>-0.61208064243828797</v>
      </c>
      <c r="G72">
        <v>0.64517499525419097</v>
      </c>
      <c r="H72">
        <v>1.14602963126837</v>
      </c>
      <c r="I72">
        <v>-0.107961026506962</v>
      </c>
      <c r="J72">
        <v>0.22533590640495299</v>
      </c>
      <c r="K72">
        <v>-5.19539318035259E-2</v>
      </c>
      <c r="L72">
        <v>-6.99636061935133E-2</v>
      </c>
      <c r="M72">
        <v>0.20472054866377401</v>
      </c>
      <c r="O72">
        <v>0.57962923985870196</v>
      </c>
      <c r="Q72">
        <v>-0.10876951663531099</v>
      </c>
      <c r="R72">
        <v>0.52333723107242502</v>
      </c>
      <c r="S72">
        <v>0.103491169787281</v>
      </c>
      <c r="T72">
        <v>-0.117970749451092</v>
      </c>
      <c r="U72">
        <v>1.8822538453947799</v>
      </c>
      <c r="V72">
        <v>-0.43572333055506901</v>
      </c>
      <c r="W72">
        <v>-2.9289270146461401E-2</v>
      </c>
      <c r="X72">
        <v>1.13497907792798</v>
      </c>
      <c r="Y72">
        <v>-0.82587817454410795</v>
      </c>
      <c r="Z72">
        <v>-0.99513188486752902</v>
      </c>
      <c r="AA72">
        <v>-0.35355595212455099</v>
      </c>
      <c r="AB72">
        <v>-8.5835192129594201E-2</v>
      </c>
      <c r="AC72">
        <v>-1.0351561299313701</v>
      </c>
      <c r="AD72">
        <v>1.8327216030982201</v>
      </c>
      <c r="AE72">
        <v>-0.24279812997392999</v>
      </c>
      <c r="AF72">
        <v>1.5763222302103399</v>
      </c>
      <c r="AG72">
        <v>-1.2396667930334799</v>
      </c>
      <c r="AH72">
        <v>6.9311482473045596E-2</v>
      </c>
      <c r="AI72">
        <v>-0.12764767691592199</v>
      </c>
      <c r="AJ72">
        <v>-4.9919756125468201E-2</v>
      </c>
      <c r="AK72">
        <v>-0.44108156172762603</v>
      </c>
      <c r="AL72">
        <v>-0.755369093578936</v>
      </c>
      <c r="AM72">
        <v>-0.507761329849168</v>
      </c>
      <c r="AN72">
        <v>-0.64635307848676304</v>
      </c>
      <c r="AO72">
        <v>-6.6425742698594206E-2</v>
      </c>
      <c r="AP72">
        <v>-0.22258269208939899</v>
      </c>
      <c r="AS72">
        <v>0.61731484497730904</v>
      </c>
      <c r="AT72">
        <v>1.7379200577494101</v>
      </c>
      <c r="AU72">
        <v>-0.66955740789732199</v>
      </c>
      <c r="AV72">
        <v>-0.210040144804919</v>
      </c>
      <c r="AW72">
        <v>-0.63367035238453195</v>
      </c>
    </row>
    <row r="73" spans="1:49" x14ac:dyDescent="0.2">
      <c r="A73" t="s">
        <v>163</v>
      </c>
      <c r="B73" t="s">
        <v>148</v>
      </c>
      <c r="C73">
        <v>-0.20627136803868201</v>
      </c>
      <c r="D73">
        <v>-9.4036321129727499E-2</v>
      </c>
      <c r="E73">
        <v>-0.54152880771979495</v>
      </c>
      <c r="F73">
        <v>0.244893798132506</v>
      </c>
      <c r="G73">
        <v>0.33560704335344799</v>
      </c>
      <c r="H73">
        <v>0.65619196854940898</v>
      </c>
      <c r="I73">
        <v>-0.13972196356663999</v>
      </c>
      <c r="J73">
        <v>0.29504419451874297</v>
      </c>
      <c r="K73">
        <v>-4.7800589720558298E-2</v>
      </c>
      <c r="L73">
        <v>0.40115733922269697</v>
      </c>
      <c r="M73">
        <v>0.30762469597342901</v>
      </c>
      <c r="O73">
        <v>0.473254345941443</v>
      </c>
      <c r="Q73">
        <v>0.12756088804688001</v>
      </c>
      <c r="R73">
        <v>0.327442512209769</v>
      </c>
      <c r="S73">
        <v>0.25609377209793299</v>
      </c>
      <c r="T73">
        <v>0.245290581459743</v>
      </c>
      <c r="U73">
        <v>1.26687594790562</v>
      </c>
      <c r="V73">
        <v>-0.12424330737450801</v>
      </c>
      <c r="W73">
        <v>0.17713862991123899</v>
      </c>
      <c r="X73">
        <v>0.66318785761837296</v>
      </c>
      <c r="Y73">
        <v>-0.14904162997432599</v>
      </c>
      <c r="Z73">
        <v>-0.26506043190631101</v>
      </c>
      <c r="AA73">
        <v>-0.15160017594393799</v>
      </c>
      <c r="AB73">
        <v>-0.139760711559486</v>
      </c>
      <c r="AC73">
        <v>-0.20373007270613899</v>
      </c>
      <c r="AD73">
        <v>1.06792929050413</v>
      </c>
      <c r="AE73">
        <v>0.112190707707854</v>
      </c>
      <c r="AF73">
        <v>0.91776076584347299</v>
      </c>
      <c r="AG73">
        <v>-0.16601772454073299</v>
      </c>
      <c r="AH73">
        <v>0.205168849051789</v>
      </c>
      <c r="AI73">
        <v>-0.135259269475246</v>
      </c>
      <c r="AJ73">
        <v>0.23247188489921</v>
      </c>
      <c r="AK73">
        <v>-8.7387287137619105E-2</v>
      </c>
      <c r="AL73">
        <v>0.153383739104619</v>
      </c>
      <c r="AM73">
        <v>0.31163787977551399</v>
      </c>
      <c r="AN73">
        <v>-0.20744069491710301</v>
      </c>
      <c r="AO73">
        <v>5.00737622377374E-2</v>
      </c>
      <c r="AP73">
        <v>0.115825001783651</v>
      </c>
      <c r="AS73">
        <v>0.57386234612789999</v>
      </c>
      <c r="AT73">
        <v>0.85076283781596296</v>
      </c>
      <c r="AU73">
        <v>-9.3644591379379402E-2</v>
      </c>
      <c r="AV73">
        <v>-7.4169090088802498</v>
      </c>
      <c r="AW73">
        <v>-0.19897668382262501</v>
      </c>
    </row>
    <row r="74" spans="1:49" x14ac:dyDescent="0.2">
      <c r="A74" t="s">
        <v>163</v>
      </c>
      <c r="B74" t="s">
        <v>154</v>
      </c>
      <c r="C74">
        <v>9.71342401745562E-2</v>
      </c>
      <c r="D74">
        <v>-5.8174555809880901E-3</v>
      </c>
      <c r="E74">
        <v>-0.17857586616830301</v>
      </c>
      <c r="F74">
        <v>0.28973452686708101</v>
      </c>
      <c r="G74">
        <v>0.26306160488909802</v>
      </c>
      <c r="H74">
        <v>4.3669370488235097E-2</v>
      </c>
      <c r="I74">
        <v>-0.24972837059178701</v>
      </c>
      <c r="J74">
        <v>-0.67563314426169896</v>
      </c>
      <c r="K74">
        <v>6.1472484336475203E-2</v>
      </c>
      <c r="L74">
        <v>0.70166094347632701</v>
      </c>
      <c r="M74">
        <v>-0.63879847532629397</v>
      </c>
      <c r="O74">
        <v>0.46423715953865302</v>
      </c>
      <c r="Q74">
        <v>-0.22664163809134399</v>
      </c>
      <c r="R74">
        <v>-0.36936373534792399</v>
      </c>
      <c r="S74">
        <v>-0.128346449692987</v>
      </c>
      <c r="T74">
        <v>-0.35493608863527398</v>
      </c>
      <c r="U74">
        <v>-1.5069559954971801</v>
      </c>
      <c r="V74">
        <v>-0.189823361886896</v>
      </c>
      <c r="W74">
        <v>-0.52922509121526395</v>
      </c>
      <c r="X74">
        <v>6.9658683345498698E-2</v>
      </c>
      <c r="Y74">
        <v>0.44520240857973298</v>
      </c>
      <c r="Z74">
        <v>-0.19676919844056101</v>
      </c>
      <c r="AA74">
        <v>0.130935194638097</v>
      </c>
      <c r="AB74">
        <v>-0.73680094023903897</v>
      </c>
      <c r="AC74">
        <v>0.316470686446435</v>
      </c>
      <c r="AD74">
        <v>0.94247311497884301</v>
      </c>
      <c r="AE74">
        <v>1.24116802892421</v>
      </c>
      <c r="AF74">
        <v>-1.3840869201772701</v>
      </c>
      <c r="AG74">
        <v>0.46306870923798998</v>
      </c>
      <c r="AH74">
        <v>0.51259371325164105</v>
      </c>
      <c r="AI74">
        <v>0.42040589998535899</v>
      </c>
      <c r="AJ74">
        <v>0.40191139914222501</v>
      </c>
      <c r="AK74">
        <v>0.420804368310981</v>
      </c>
      <c r="AL74">
        <v>0.630380056616478</v>
      </c>
      <c r="AM74">
        <v>0.66933586281392299</v>
      </c>
      <c r="AN74">
        <v>-0.122292843168993</v>
      </c>
      <c r="AO74">
        <v>-0.30883616112054402</v>
      </c>
      <c r="AP74">
        <v>0.63528102509542905</v>
      </c>
      <c r="AS74">
        <v>3.9264846165112401E-4</v>
      </c>
      <c r="AT74">
        <v>-0.87425171203840601</v>
      </c>
      <c r="AU74">
        <v>0.19777977655003301</v>
      </c>
      <c r="AV74">
        <v>-0.39433109179967801</v>
      </c>
      <c r="AW74">
        <v>-0.34761736686850497</v>
      </c>
    </row>
    <row r="75" spans="1:49" x14ac:dyDescent="0.2">
      <c r="A75" t="s">
        <v>163</v>
      </c>
      <c r="B75" t="s">
        <v>155</v>
      </c>
      <c r="C75">
        <v>-0.43946596219788497</v>
      </c>
      <c r="D75">
        <v>-0.36022730650861601</v>
      </c>
      <c r="E75">
        <v>-0.39524023942740499</v>
      </c>
      <c r="F75">
        <v>0.52920691088817695</v>
      </c>
      <c r="G75">
        <v>-0.28353809842997602</v>
      </c>
      <c r="H75">
        <v>0.88260884061287503</v>
      </c>
      <c r="I75">
        <v>-0.48529651795314199</v>
      </c>
      <c r="J75">
        <v>-0.68805676276765204</v>
      </c>
      <c r="K75">
        <v>-0.29438075511450901</v>
      </c>
      <c r="L75">
        <v>5.3711708249546401E-2</v>
      </c>
      <c r="M75">
        <v>-0.30154565042479903</v>
      </c>
      <c r="O75">
        <v>0.191655176607231</v>
      </c>
      <c r="Q75">
        <v>0.74175359771802496</v>
      </c>
      <c r="R75">
        <v>-0.60004127905231097</v>
      </c>
      <c r="S75">
        <v>0.76930254549504695</v>
      </c>
      <c r="T75">
        <v>-0.50423070820622196</v>
      </c>
      <c r="U75">
        <v>0.95121241936969902</v>
      </c>
      <c r="V75">
        <v>-0.57856986946379796</v>
      </c>
      <c r="W75">
        <v>0.119848315454537</v>
      </c>
      <c r="X75">
        <v>0.37578556257149098</v>
      </c>
      <c r="Y75">
        <v>-7.0856740910586496E-2</v>
      </c>
      <c r="Z75">
        <v>-0.58859329394566196</v>
      </c>
      <c r="AA75">
        <v>0.24167177888917801</v>
      </c>
      <c r="AB75">
        <v>-0.570512840834282</v>
      </c>
      <c r="AC75">
        <v>0.25935112592370602</v>
      </c>
      <c r="AD75">
        <v>1.74936681437375</v>
      </c>
      <c r="AE75">
        <v>0.75056231236904902</v>
      </c>
      <c r="AF75">
        <v>5.7294537125536601E-2</v>
      </c>
      <c r="AG75">
        <v>0.24342036531587299</v>
      </c>
      <c r="AH75">
        <v>0.11438445036513099</v>
      </c>
      <c r="AI75">
        <v>-0.40307655643855</v>
      </c>
      <c r="AJ75">
        <v>-0.40526804615338002</v>
      </c>
      <c r="AK75">
        <v>0.58370366454800304</v>
      </c>
      <c r="AL75">
        <v>0.44380296638944</v>
      </c>
      <c r="AM75">
        <v>0.84184527681247201</v>
      </c>
      <c r="AN75">
        <v>0.26055901959491901</v>
      </c>
      <c r="AO75">
        <v>-0.28342338521984201</v>
      </c>
      <c r="AP75">
        <v>4.8396969818242701E-2</v>
      </c>
      <c r="AS75">
        <v>0.84944328525100998</v>
      </c>
      <c r="AT75">
        <v>-2.00652373047745E-2</v>
      </c>
      <c r="AU75">
        <v>-0.34880630246505201</v>
      </c>
      <c r="AV75">
        <v>-3.3963825891814898</v>
      </c>
      <c r="AW75">
        <v>-4.1309501743005399E-2</v>
      </c>
    </row>
    <row r="76" spans="1:49" x14ac:dyDescent="0.2">
      <c r="A76" t="s">
        <v>163</v>
      </c>
      <c r="B76" t="s">
        <v>149</v>
      </c>
      <c r="C76">
        <v>-0.60713615751218797</v>
      </c>
      <c r="D76">
        <v>-0.46821802688945502</v>
      </c>
      <c r="E76">
        <v>-0.31310003534605402</v>
      </c>
      <c r="F76">
        <v>-0.24177507186247901</v>
      </c>
      <c r="G76">
        <v>0.25640535604727599</v>
      </c>
      <c r="H76">
        <v>0.58246149876535602</v>
      </c>
      <c r="I76">
        <v>-0.40485320659721502</v>
      </c>
      <c r="J76">
        <v>-0.19243593729302799</v>
      </c>
      <c r="K76">
        <v>-0.53504198770907196</v>
      </c>
      <c r="L76">
        <v>-6.4644013870281597E-2</v>
      </c>
      <c r="M76">
        <v>-0.14729329019691201</v>
      </c>
      <c r="O76">
        <v>0.26795914758773498</v>
      </c>
      <c r="Q76">
        <v>0.204520200655115</v>
      </c>
      <c r="R76">
        <v>0.20568575832229</v>
      </c>
      <c r="S76">
        <v>0.566309905254895</v>
      </c>
      <c r="T76">
        <v>6.2212342155020001E-2</v>
      </c>
      <c r="U76">
        <v>1.9638008452625699</v>
      </c>
      <c r="V76">
        <v>-0.77480743102139404</v>
      </c>
      <c r="W76">
        <v>0.18356932799592099</v>
      </c>
      <c r="X76">
        <v>0.27158758158722501</v>
      </c>
      <c r="Y76">
        <v>0.13418602406567601</v>
      </c>
      <c r="Z76">
        <v>-0.82032262493991004</v>
      </c>
      <c r="AA76">
        <v>-0.384696409697592</v>
      </c>
      <c r="AB76">
        <v>-0.33338981064165601</v>
      </c>
      <c r="AC76">
        <v>-0.854600034261634</v>
      </c>
      <c r="AD76">
        <v>1.4005237662793</v>
      </c>
      <c r="AE76">
        <v>0.20773141024095701</v>
      </c>
      <c r="AF76">
        <v>1.1434513748050601</v>
      </c>
      <c r="AG76">
        <v>-0.36840626872735199</v>
      </c>
      <c r="AH76">
        <v>2.5697170967298E-2</v>
      </c>
      <c r="AI76">
        <v>-0.79679043715168696</v>
      </c>
      <c r="AJ76">
        <v>-0.73727233489102795</v>
      </c>
      <c r="AK76">
        <v>-0.13189135357128501</v>
      </c>
      <c r="AL76">
        <v>-0.243293145758398</v>
      </c>
      <c r="AM76">
        <v>-0.17697391558175199</v>
      </c>
      <c r="AN76">
        <v>-0.48497537692908599</v>
      </c>
      <c r="AO76">
        <v>-1.0119189781345799E-2</v>
      </c>
      <c r="AP76">
        <v>-0.50367273961194603</v>
      </c>
      <c r="AS76">
        <v>0.58588571780502896</v>
      </c>
      <c r="AT76">
        <v>0.957837816387208</v>
      </c>
      <c r="AU76">
        <v>-2.0444237190857899E-2</v>
      </c>
      <c r="AV76">
        <v>0.96692392151825102</v>
      </c>
      <c r="AW76">
        <v>-0.37059612866856401</v>
      </c>
    </row>
    <row r="77" spans="1:49" x14ac:dyDescent="0.2">
      <c r="A77" t="s">
        <v>163</v>
      </c>
      <c r="B77" t="s">
        <v>156</v>
      </c>
      <c r="C77">
        <v>-0.43306446536885501</v>
      </c>
      <c r="D77">
        <v>-0.45173917599056201</v>
      </c>
      <c r="E77">
        <v>-0.771728798072285</v>
      </c>
      <c r="F77">
        <v>0.374179098142361</v>
      </c>
      <c r="G77">
        <v>9.2489717194839394E-2</v>
      </c>
      <c r="H77">
        <v>0.84815439927245495</v>
      </c>
      <c r="I77">
        <v>-0.50290613391057304</v>
      </c>
      <c r="J77">
        <v>1.57046924391573E-2</v>
      </c>
      <c r="K77">
        <v>-0.304825938964913</v>
      </c>
      <c r="L77">
        <v>0.18116869745505701</v>
      </c>
      <c r="M77">
        <v>-0.12277026506828601</v>
      </c>
      <c r="O77">
        <v>0.21013726106744901</v>
      </c>
      <c r="Q77">
        <v>0.39372288788910698</v>
      </c>
      <c r="R77">
        <v>0.115647411564651</v>
      </c>
      <c r="S77">
        <v>0.35848552325028099</v>
      </c>
      <c r="T77">
        <v>-0.157569929938115</v>
      </c>
      <c r="U77">
        <v>2.1001759290559199</v>
      </c>
      <c r="V77">
        <v>-0.68931942392314605</v>
      </c>
      <c r="W77">
        <v>-0.19290646524852501</v>
      </c>
      <c r="X77">
        <v>0.210516439315137</v>
      </c>
      <c r="Y77">
        <v>-0.150917855442428</v>
      </c>
      <c r="Z77">
        <v>-0.72851523981948196</v>
      </c>
      <c r="AA77">
        <v>-0.61047410735422902</v>
      </c>
      <c r="AB77">
        <v>-0.47514062742054303</v>
      </c>
      <c r="AC77">
        <v>-0.48286980673240998</v>
      </c>
      <c r="AD77">
        <v>1.79938667352823</v>
      </c>
      <c r="AE77">
        <v>6.6551650752650196E-2</v>
      </c>
      <c r="AF77">
        <v>0.63203797890769198</v>
      </c>
      <c r="AG77">
        <v>-0.214794693128497</v>
      </c>
      <c r="AH77">
        <v>0.10962291628038399</v>
      </c>
      <c r="AI77">
        <v>-0.65505369458554896</v>
      </c>
      <c r="AJ77">
        <v>-0.44522345395138002</v>
      </c>
      <c r="AK77">
        <v>-0.198710571900516</v>
      </c>
      <c r="AL77">
        <v>0.419505757488709</v>
      </c>
      <c r="AM77">
        <v>0.21724223393766401</v>
      </c>
      <c r="AN77">
        <v>-0.274103979793409</v>
      </c>
      <c r="AO77">
        <v>-0.380479314137529</v>
      </c>
      <c r="AP77">
        <v>0.112694882846506</v>
      </c>
      <c r="AS77">
        <v>0.45913147060978998</v>
      </c>
      <c r="AT77">
        <v>0.79911629222929603</v>
      </c>
      <c r="AU77">
        <v>-0.55174949095313197</v>
      </c>
      <c r="AV77">
        <v>-7.0852622573517904E-2</v>
      </c>
      <c r="AW77">
        <v>-0.64995585894946695</v>
      </c>
    </row>
    <row r="78" spans="1:49" x14ac:dyDescent="0.2">
      <c r="A78" t="s">
        <v>163</v>
      </c>
      <c r="B78" t="s">
        <v>150</v>
      </c>
      <c r="C78">
        <v>-0.44747682244395598</v>
      </c>
      <c r="D78">
        <v>-0.46597025763731598</v>
      </c>
      <c r="E78">
        <v>-0.50732166357874298</v>
      </c>
      <c r="F78">
        <v>0.54837792879263103</v>
      </c>
      <c r="G78">
        <v>7.7338367170139505E-2</v>
      </c>
      <c r="H78">
        <v>0.218007925853934</v>
      </c>
      <c r="I78">
        <v>-0.53495876584495095</v>
      </c>
      <c r="J78">
        <v>-7.4390191287102905E-2</v>
      </c>
      <c r="K78">
        <v>-0.23004279998829999</v>
      </c>
      <c r="L78">
        <v>0.50566005905320499</v>
      </c>
      <c r="M78">
        <v>-0.112341205978761</v>
      </c>
      <c r="O78">
        <v>0.26912583807879198</v>
      </c>
      <c r="Q78">
        <v>8.7424737421493995E-2</v>
      </c>
      <c r="R78">
        <v>0.22996317797583901</v>
      </c>
      <c r="S78">
        <v>0.19364216224182401</v>
      </c>
      <c r="T78">
        <v>7.7265053244315804E-3</v>
      </c>
      <c r="U78">
        <v>1.6198920093699201</v>
      </c>
      <c r="V78">
        <v>-0.71064047837673605</v>
      </c>
      <c r="W78">
        <v>-0.25563700309952497</v>
      </c>
      <c r="X78">
        <v>-4.1335939814384201E-2</v>
      </c>
      <c r="Y78">
        <v>-0.25794118837318503</v>
      </c>
      <c r="Z78">
        <v>-0.43217562653768998</v>
      </c>
      <c r="AA78">
        <v>-0.520145743613315</v>
      </c>
      <c r="AB78">
        <v>-0.67244451230143198</v>
      </c>
      <c r="AC78">
        <v>-0.25122876041065101</v>
      </c>
      <c r="AD78">
        <v>1.40904479567208</v>
      </c>
      <c r="AE78">
        <v>0.24298932237455501</v>
      </c>
      <c r="AF78">
        <v>0.58450599470239195</v>
      </c>
      <c r="AG78">
        <v>-0.141062015929794</v>
      </c>
      <c r="AH78">
        <v>5.1015740217662003E-2</v>
      </c>
      <c r="AI78">
        <v>-0.52743731141745198</v>
      </c>
      <c r="AJ78">
        <v>-0.45472772780812798</v>
      </c>
      <c r="AK78">
        <v>-0.14261135776682601</v>
      </c>
      <c r="AL78">
        <v>0.517114179810513</v>
      </c>
      <c r="AM78">
        <v>0.34689225487552899</v>
      </c>
      <c r="AN78">
        <v>-0.48313536704816201</v>
      </c>
      <c r="AO78">
        <v>-0.51826307681489603</v>
      </c>
      <c r="AP78">
        <v>0.15536831697112399</v>
      </c>
      <c r="AS78">
        <v>0.50764325203275396</v>
      </c>
      <c r="AT78">
        <v>0.66668766084005404</v>
      </c>
      <c r="AU78">
        <v>-0.32987077348610699</v>
      </c>
      <c r="AV78">
        <v>-0.12632832007424399</v>
      </c>
      <c r="AW78">
        <v>-9.3331914720167495E-4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512B-7D48-6341-97C6-B0CAC37EFEE8}">
  <dimension ref="A1:AT178"/>
  <sheetViews>
    <sheetView tabSelected="1" topLeftCell="AN144" workbookViewId="0">
      <selection activeCell="AT184" sqref="AT184"/>
    </sheetView>
  </sheetViews>
  <sheetFormatPr baseColWidth="10" defaultRowHeight="15" x14ac:dyDescent="0.2"/>
  <cols>
    <col min="1" max="1" width="21" customWidth="1"/>
  </cols>
  <sheetData>
    <row r="1" spans="1:46" x14ac:dyDescent="0.2">
      <c r="A1" s="1" t="s">
        <v>428</v>
      </c>
      <c r="B1" s="1"/>
      <c r="C1" s="1"/>
      <c r="D1" s="1"/>
      <c r="E1" s="1"/>
      <c r="F1" s="1"/>
    </row>
    <row r="2" spans="1:46" s="5" customFormat="1" x14ac:dyDescent="0.2">
      <c r="A2" s="14"/>
      <c r="B2" s="14"/>
      <c r="C2" s="14"/>
      <c r="D2" s="14"/>
      <c r="E2" s="14"/>
      <c r="F2" s="14"/>
    </row>
    <row r="3" spans="1:46" s="7" customFormat="1" x14ac:dyDescent="0.2">
      <c r="A3" s="18" t="s">
        <v>429</v>
      </c>
      <c r="B3" s="18"/>
      <c r="C3" s="18"/>
      <c r="D3" s="18"/>
      <c r="E3" s="18"/>
      <c r="F3" s="18"/>
    </row>
    <row r="4" spans="1:46" x14ac:dyDescent="0.2">
      <c r="A4" t="s">
        <v>192</v>
      </c>
      <c r="B4" t="s">
        <v>193</v>
      </c>
      <c r="C4" t="s">
        <v>194</v>
      </c>
      <c r="D4" t="s">
        <v>195</v>
      </c>
      <c r="E4" t="s">
        <v>196</v>
      </c>
      <c r="F4" t="s">
        <v>197</v>
      </c>
      <c r="G4" t="s">
        <v>198</v>
      </c>
      <c r="H4" t="s">
        <v>199</v>
      </c>
      <c r="I4" t="s">
        <v>200</v>
      </c>
      <c r="J4" t="s">
        <v>201</v>
      </c>
      <c r="K4" t="s">
        <v>202</v>
      </c>
      <c r="L4" t="s">
        <v>203</v>
      </c>
      <c r="M4" t="s">
        <v>204</v>
      </c>
      <c r="N4" t="s">
        <v>205</v>
      </c>
      <c r="O4" t="s">
        <v>206</v>
      </c>
      <c r="P4" t="s">
        <v>207</v>
      </c>
      <c r="Q4" t="s">
        <v>208</v>
      </c>
      <c r="R4" t="s">
        <v>209</v>
      </c>
      <c r="S4" t="s">
        <v>210</v>
      </c>
      <c r="T4" t="s">
        <v>211</v>
      </c>
      <c r="U4" t="s">
        <v>212</v>
      </c>
      <c r="V4" t="s">
        <v>213</v>
      </c>
      <c r="W4" t="s">
        <v>214</v>
      </c>
      <c r="X4" t="s">
        <v>215</v>
      </c>
      <c r="Y4" t="s">
        <v>216</v>
      </c>
      <c r="Z4" t="s">
        <v>217</v>
      </c>
      <c r="AA4" t="s">
        <v>218</v>
      </c>
      <c r="AB4" t="s">
        <v>219</v>
      </c>
      <c r="AC4" t="s">
        <v>220</v>
      </c>
      <c r="AD4" t="s">
        <v>221</v>
      </c>
      <c r="AE4" t="s">
        <v>222</v>
      </c>
      <c r="AF4" t="s">
        <v>223</v>
      </c>
      <c r="AG4" t="s">
        <v>224</v>
      </c>
      <c r="AH4" t="s">
        <v>225</v>
      </c>
      <c r="AI4" t="s">
        <v>226</v>
      </c>
      <c r="AJ4" t="s">
        <v>227</v>
      </c>
      <c r="AK4" t="s">
        <v>228</v>
      </c>
      <c r="AL4" t="s">
        <v>229</v>
      </c>
      <c r="AM4" t="s">
        <v>230</v>
      </c>
      <c r="AN4" t="s">
        <v>231</v>
      </c>
      <c r="AO4" t="s">
        <v>232</v>
      </c>
      <c r="AP4" t="s">
        <v>233</v>
      </c>
      <c r="AQ4" t="s">
        <v>234</v>
      </c>
      <c r="AR4" t="s">
        <v>236</v>
      </c>
      <c r="AT4" t="s">
        <v>235</v>
      </c>
    </row>
    <row r="5" spans="1:46" x14ac:dyDescent="0.2">
      <c r="A5" t="s">
        <v>237</v>
      </c>
      <c r="B5" t="s">
        <v>238</v>
      </c>
      <c r="C5" t="s">
        <v>238</v>
      </c>
      <c r="D5" t="s">
        <v>238</v>
      </c>
      <c r="E5" t="s">
        <v>238</v>
      </c>
      <c r="F5" t="s">
        <v>238</v>
      </c>
      <c r="G5" t="s">
        <v>238</v>
      </c>
      <c r="H5" t="s">
        <v>238</v>
      </c>
      <c r="I5" t="s">
        <v>238</v>
      </c>
      <c r="J5" t="s">
        <v>238</v>
      </c>
      <c r="K5" t="s">
        <v>238</v>
      </c>
      <c r="L5" t="s">
        <v>238</v>
      </c>
      <c r="M5" t="s">
        <v>239</v>
      </c>
      <c r="N5" t="s">
        <v>239</v>
      </c>
      <c r="O5" t="s">
        <v>239</v>
      </c>
      <c r="P5" t="s">
        <v>239</v>
      </c>
      <c r="Q5" t="s">
        <v>239</v>
      </c>
      <c r="R5" t="s">
        <v>239</v>
      </c>
      <c r="S5" t="s">
        <v>239</v>
      </c>
      <c r="T5" t="s">
        <v>239</v>
      </c>
      <c r="U5" t="s">
        <v>239</v>
      </c>
      <c r="V5" t="s">
        <v>239</v>
      </c>
      <c r="W5" t="s">
        <v>239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T5" t="s">
        <v>3</v>
      </c>
    </row>
    <row r="6" spans="1:46" x14ac:dyDescent="0.2">
      <c r="A6" s="7" t="s">
        <v>275</v>
      </c>
      <c r="B6">
        <v>98346.497799999997</v>
      </c>
      <c r="C6">
        <v>94621.204429999998</v>
      </c>
      <c r="D6">
        <v>129106.3682</v>
      </c>
      <c r="E6">
        <v>126463.8566</v>
      </c>
      <c r="F6">
        <v>100486.1087</v>
      </c>
      <c r="G6">
        <v>157145.41320000001</v>
      </c>
      <c r="H6">
        <v>115833.183</v>
      </c>
      <c r="I6">
        <v>113555.5631</v>
      </c>
      <c r="J6">
        <v>94656.421159999998</v>
      </c>
      <c r="K6">
        <v>126590.4249</v>
      </c>
      <c r="L6">
        <v>125997.037</v>
      </c>
      <c r="M6">
        <v>119154.10030000001</v>
      </c>
      <c r="N6">
        <v>131706.61249999999</v>
      </c>
      <c r="O6">
        <v>102748.9792</v>
      </c>
      <c r="P6">
        <v>123571.2844</v>
      </c>
      <c r="Q6">
        <v>90316.643039999995</v>
      </c>
      <c r="R6">
        <v>81889.203909999997</v>
      </c>
      <c r="S6">
        <v>140017.56539999999</v>
      </c>
      <c r="T6">
        <v>131862.745</v>
      </c>
      <c r="U6">
        <v>93556.241670000003</v>
      </c>
      <c r="V6">
        <v>146144.3743</v>
      </c>
      <c r="W6">
        <v>134981.60550000001</v>
      </c>
      <c r="X6">
        <v>101733.9948</v>
      </c>
      <c r="Y6">
        <v>98656.618459999998</v>
      </c>
      <c r="Z6">
        <v>87171.298850000006</v>
      </c>
      <c r="AA6">
        <v>124288.4109</v>
      </c>
      <c r="AB6">
        <v>131472.99189999999</v>
      </c>
      <c r="AC6">
        <v>138356.62289999999</v>
      </c>
      <c r="AD6">
        <v>107946.7675</v>
      </c>
      <c r="AE6">
        <v>103312.4765</v>
      </c>
      <c r="AF6">
        <v>125641.0102</v>
      </c>
      <c r="AG6">
        <v>132537.6796</v>
      </c>
      <c r="AH6">
        <v>136682.48389999999</v>
      </c>
      <c r="AI6">
        <v>190066.4149</v>
      </c>
      <c r="AJ6">
        <v>106715.1734</v>
      </c>
      <c r="AK6">
        <v>163771.4711</v>
      </c>
      <c r="AL6">
        <v>103544.13559999999</v>
      </c>
      <c r="AM6">
        <v>104748.5091</v>
      </c>
      <c r="AN6">
        <v>101731.863</v>
      </c>
      <c r="AO6">
        <v>120637.48820000001</v>
      </c>
      <c r="AP6">
        <v>125761.6542</v>
      </c>
      <c r="AQ6">
        <v>132316.87940000001</v>
      </c>
      <c r="AR6">
        <v>148440.40280000001</v>
      </c>
      <c r="AT6">
        <v>154923.07860000001</v>
      </c>
    </row>
    <row r="7" spans="1:46" x14ac:dyDescent="0.2">
      <c r="A7" s="7" t="s">
        <v>276</v>
      </c>
      <c r="B7">
        <v>39317.169840000002</v>
      </c>
      <c r="C7">
        <v>42234.058490000003</v>
      </c>
      <c r="D7">
        <v>64527.629099999998</v>
      </c>
      <c r="E7">
        <v>38090.335129999999</v>
      </c>
      <c r="F7">
        <v>37641.23646</v>
      </c>
      <c r="G7">
        <v>39883.290220000003</v>
      </c>
      <c r="H7">
        <v>37145.631820000002</v>
      </c>
      <c r="I7">
        <v>47698.307159999997</v>
      </c>
      <c r="J7">
        <v>34218.876790000002</v>
      </c>
      <c r="K7">
        <v>41140.446770000002</v>
      </c>
      <c r="L7">
        <v>33430.504309999997</v>
      </c>
      <c r="M7">
        <v>53518.223819999999</v>
      </c>
      <c r="N7">
        <v>54754.676590000003</v>
      </c>
      <c r="O7">
        <v>38838.184959999999</v>
      </c>
      <c r="P7">
        <v>44740.998030000002</v>
      </c>
      <c r="Q7">
        <v>28809.595450000001</v>
      </c>
      <c r="R7">
        <v>30606.989699999998</v>
      </c>
      <c r="S7">
        <v>40264.646000000001</v>
      </c>
      <c r="T7">
        <v>48038.845050000004</v>
      </c>
      <c r="U7">
        <v>31083.75578</v>
      </c>
      <c r="V7">
        <v>57455.061000000002</v>
      </c>
      <c r="W7">
        <v>41332.313029999998</v>
      </c>
      <c r="X7">
        <v>45856.880039999996</v>
      </c>
      <c r="Y7">
        <v>38551.682009999997</v>
      </c>
      <c r="Z7">
        <v>32221.43203</v>
      </c>
      <c r="AA7">
        <v>39939.72999</v>
      </c>
      <c r="AB7">
        <v>44464.63667</v>
      </c>
      <c r="AC7">
        <v>49608.902090000003</v>
      </c>
      <c r="AD7">
        <v>64169.550620000002</v>
      </c>
      <c r="AE7">
        <v>35206.767760000002</v>
      </c>
      <c r="AF7">
        <v>65940.719410000005</v>
      </c>
      <c r="AG7">
        <v>45881.281779999998</v>
      </c>
      <c r="AH7">
        <v>52970.39559</v>
      </c>
      <c r="AI7">
        <v>50655.750189999999</v>
      </c>
      <c r="AJ7">
        <v>56112.208769999997</v>
      </c>
      <c r="AK7">
        <v>63226.079189999997</v>
      </c>
      <c r="AL7">
        <v>44033.458859999999</v>
      </c>
      <c r="AM7">
        <v>48812.123249999997</v>
      </c>
      <c r="AN7">
        <v>41422.520550000001</v>
      </c>
      <c r="AO7">
        <v>43714.63222</v>
      </c>
      <c r="AP7">
        <v>57360.346579999998</v>
      </c>
      <c r="AQ7">
        <v>44123.471839999998</v>
      </c>
      <c r="AR7">
        <v>60112.864150000001</v>
      </c>
      <c r="AT7">
        <v>74499.059229999999</v>
      </c>
    </row>
    <row r="8" spans="1:46" x14ac:dyDescent="0.2">
      <c r="A8" s="7" t="s">
        <v>277</v>
      </c>
      <c r="B8">
        <v>18062.446550000001</v>
      </c>
      <c r="C8">
        <v>15885.078020000001</v>
      </c>
      <c r="D8">
        <v>28175.715260000001</v>
      </c>
      <c r="E8">
        <v>27661.448619999999</v>
      </c>
      <c r="F8">
        <v>20576.458559999999</v>
      </c>
      <c r="G8">
        <v>36754.022069999999</v>
      </c>
      <c r="H8">
        <v>29092.746940000001</v>
      </c>
      <c r="I8">
        <v>24813.760689999999</v>
      </c>
      <c r="J8">
        <v>17031.311249999999</v>
      </c>
      <c r="K8">
        <v>25962.439109999999</v>
      </c>
      <c r="L8">
        <v>26055.875390000001</v>
      </c>
      <c r="M8">
        <v>25146.254260000002</v>
      </c>
      <c r="N8">
        <v>26121.875940000002</v>
      </c>
      <c r="O8">
        <v>21518.054220000002</v>
      </c>
      <c r="P8">
        <v>24163.962220000001</v>
      </c>
      <c r="Q8">
        <v>17077.471570000002</v>
      </c>
      <c r="R8">
        <v>15571.015160000001</v>
      </c>
      <c r="S8">
        <v>25486.978999999999</v>
      </c>
      <c r="T8">
        <v>22954.959149999999</v>
      </c>
      <c r="U8">
        <v>18438.256010000001</v>
      </c>
      <c r="V8">
        <v>26371.685079999999</v>
      </c>
      <c r="W8">
        <v>25331.884590000001</v>
      </c>
      <c r="X8">
        <v>19130.755290000001</v>
      </c>
      <c r="Y8">
        <v>17991.898010000001</v>
      </c>
      <c r="Z8">
        <v>17808.029190000001</v>
      </c>
      <c r="AA8">
        <v>23260.105599999999</v>
      </c>
      <c r="AB8">
        <v>24641.770769999999</v>
      </c>
      <c r="AC8">
        <v>23543.082009999998</v>
      </c>
      <c r="AD8">
        <v>20771.026549999999</v>
      </c>
      <c r="AE8">
        <v>18967.484560000001</v>
      </c>
      <c r="AF8">
        <v>20087.88377</v>
      </c>
      <c r="AG8">
        <v>23973.390340000002</v>
      </c>
      <c r="AH8">
        <v>25995.475890000002</v>
      </c>
      <c r="AI8">
        <v>37005.871160000002</v>
      </c>
      <c r="AJ8">
        <v>19859.402900000001</v>
      </c>
      <c r="AK8">
        <v>29931.922030000002</v>
      </c>
      <c r="AL8">
        <v>21860.649789999999</v>
      </c>
      <c r="AM8">
        <v>19178.4339</v>
      </c>
      <c r="AN8">
        <v>18072.737809999999</v>
      </c>
      <c r="AO8">
        <v>19539.044160000001</v>
      </c>
      <c r="AP8">
        <v>20365.13667</v>
      </c>
      <c r="AQ8">
        <v>27161.781780000001</v>
      </c>
      <c r="AR8">
        <v>26399.90826</v>
      </c>
      <c r="AT8">
        <v>16025.02073</v>
      </c>
    </row>
    <row r="9" spans="1:46" x14ac:dyDescent="0.2">
      <c r="A9" s="7" t="s">
        <v>278</v>
      </c>
      <c r="B9">
        <v>744031.80440000002</v>
      </c>
      <c r="C9">
        <v>682720.68590000004</v>
      </c>
      <c r="D9">
        <v>1028043.96</v>
      </c>
      <c r="E9">
        <v>748369.09140000003</v>
      </c>
      <c r="F9">
        <v>657751.5024</v>
      </c>
      <c r="G9">
        <v>616551.35829999996</v>
      </c>
      <c r="H9">
        <v>619406.01040000003</v>
      </c>
      <c r="I9">
        <v>847720.29579999996</v>
      </c>
      <c r="J9">
        <v>718082.96939999994</v>
      </c>
      <c r="K9">
        <v>840341.37529999996</v>
      </c>
      <c r="L9">
        <v>707334.35549999995</v>
      </c>
      <c r="M9">
        <v>799521.74</v>
      </c>
      <c r="N9">
        <v>948852.63020000001</v>
      </c>
      <c r="O9">
        <v>690207.59100000001</v>
      </c>
      <c r="P9">
        <v>826916.62809999997</v>
      </c>
      <c r="Q9">
        <v>602423.20420000004</v>
      </c>
      <c r="R9">
        <v>543762.74890000001</v>
      </c>
      <c r="S9">
        <v>836305.41559999995</v>
      </c>
      <c r="T9">
        <v>827514.61289999995</v>
      </c>
      <c r="U9">
        <v>534678.57559999998</v>
      </c>
      <c r="V9">
        <v>987013.20909999998</v>
      </c>
      <c r="W9">
        <v>830478.85100000002</v>
      </c>
      <c r="X9">
        <v>714327.79929999996</v>
      </c>
      <c r="Y9">
        <v>681653.9889</v>
      </c>
      <c r="Z9">
        <v>538058.29610000004</v>
      </c>
      <c r="AA9">
        <v>726523.08310000005</v>
      </c>
      <c r="AB9">
        <v>789288.95490000001</v>
      </c>
      <c r="AC9">
        <v>814063.65760000004</v>
      </c>
      <c r="AD9">
        <v>1028670.552</v>
      </c>
      <c r="AE9">
        <v>550187.38060000003</v>
      </c>
      <c r="AF9">
        <v>1109540.409</v>
      </c>
      <c r="AG9">
        <v>727200.12230000005</v>
      </c>
      <c r="AH9">
        <v>977456.81599999999</v>
      </c>
      <c r="AI9">
        <v>774966.95349999995</v>
      </c>
      <c r="AJ9">
        <v>881267.90700000001</v>
      </c>
      <c r="AK9">
        <v>849445.17310000001</v>
      </c>
      <c r="AL9">
        <v>689621.68519999995</v>
      </c>
      <c r="AM9">
        <v>952573.16150000005</v>
      </c>
      <c r="AN9">
        <v>603043.60950000002</v>
      </c>
      <c r="AO9">
        <v>787762.1716</v>
      </c>
      <c r="AP9">
        <v>1001818.468</v>
      </c>
      <c r="AQ9">
        <v>768542.85730000003</v>
      </c>
      <c r="AR9">
        <v>880136.94689999998</v>
      </c>
      <c r="AT9">
        <v>815889.96219999995</v>
      </c>
    </row>
    <row r="10" spans="1:46" x14ac:dyDescent="0.2">
      <c r="A10" s="7" t="s">
        <v>279</v>
      </c>
      <c r="B10">
        <v>1573837.139</v>
      </c>
      <c r="C10">
        <v>1693038.746</v>
      </c>
      <c r="D10">
        <v>2358210.3020000001</v>
      </c>
      <c r="E10">
        <v>1712944.5060000001</v>
      </c>
      <c r="F10">
        <v>1717482.909</v>
      </c>
      <c r="G10">
        <v>1634784.1270000001</v>
      </c>
      <c r="H10">
        <v>1743739.246</v>
      </c>
      <c r="I10">
        <v>1907644.7180000001</v>
      </c>
      <c r="J10">
        <v>1734877.827</v>
      </c>
      <c r="K10">
        <v>1814979.939</v>
      </c>
      <c r="L10">
        <v>1587253.452</v>
      </c>
      <c r="M10">
        <v>2066763.7479999999</v>
      </c>
      <c r="N10">
        <v>2341506.0159999998</v>
      </c>
      <c r="O10">
        <v>1744314.1089999999</v>
      </c>
      <c r="P10">
        <v>1819124.1140000001</v>
      </c>
      <c r="Q10">
        <v>1264102.757</v>
      </c>
      <c r="R10">
        <v>1208526.5549999999</v>
      </c>
      <c r="S10">
        <v>1782926.818</v>
      </c>
      <c r="T10">
        <v>2165244.8840000001</v>
      </c>
      <c r="U10">
        <v>1256912.3700000001</v>
      </c>
      <c r="V10">
        <v>2189771.6880000001</v>
      </c>
      <c r="W10">
        <v>1689605.9269999999</v>
      </c>
      <c r="X10">
        <v>1612506.3729999999</v>
      </c>
      <c r="Y10">
        <v>1685991.25</v>
      </c>
      <c r="Z10">
        <v>1393308.5360000001</v>
      </c>
      <c r="AA10">
        <v>1836833.9110000001</v>
      </c>
      <c r="AB10">
        <v>1828391.89</v>
      </c>
      <c r="AC10">
        <v>2179330.023</v>
      </c>
      <c r="AD10">
        <v>2106599.1850000001</v>
      </c>
      <c r="AE10">
        <v>1443251.6769999999</v>
      </c>
      <c r="AF10">
        <v>2314107.6370000001</v>
      </c>
      <c r="AG10">
        <v>1955558.2679999999</v>
      </c>
      <c r="AH10">
        <v>2150613.54</v>
      </c>
      <c r="AI10">
        <v>2063858.19</v>
      </c>
      <c r="AJ10">
        <v>2049809.682</v>
      </c>
      <c r="AK10">
        <v>1955622.3840000001</v>
      </c>
      <c r="AL10">
        <v>1780504.9669999999</v>
      </c>
      <c r="AM10">
        <v>1920225.0009999999</v>
      </c>
      <c r="AN10">
        <v>1800098.426</v>
      </c>
      <c r="AO10">
        <v>1780239.3230000001</v>
      </c>
      <c r="AP10">
        <v>2281324.7760000001</v>
      </c>
      <c r="AQ10">
        <v>1903878.227</v>
      </c>
      <c r="AR10">
        <v>2309391.3190000001</v>
      </c>
      <c r="AT10">
        <v>2856323.773</v>
      </c>
    </row>
    <row r="11" spans="1:46" x14ac:dyDescent="0.2">
      <c r="A11" s="7" t="s">
        <v>280</v>
      </c>
      <c r="B11">
        <v>42834.256280000001</v>
      </c>
      <c r="C11">
        <v>46062.265420000003</v>
      </c>
      <c r="D11">
        <v>81443.412620000003</v>
      </c>
      <c r="E11">
        <v>36472.812790000004</v>
      </c>
      <c r="F11">
        <v>47509.848760000001</v>
      </c>
      <c r="G11">
        <v>34667.424019999999</v>
      </c>
      <c r="H11">
        <v>38662.051240000001</v>
      </c>
      <c r="I11">
        <v>77017.654339999994</v>
      </c>
      <c r="J11">
        <v>37516.19212</v>
      </c>
      <c r="K11">
        <v>57633.771780000003</v>
      </c>
      <c r="L11">
        <v>37879.739229999999</v>
      </c>
      <c r="M11">
        <v>85632.246899999998</v>
      </c>
      <c r="N11">
        <v>76751.505099999995</v>
      </c>
      <c r="O11">
        <v>53535.539299999997</v>
      </c>
      <c r="P11">
        <v>58977.954619999997</v>
      </c>
      <c r="Q11">
        <v>31882.091420000001</v>
      </c>
      <c r="R11">
        <v>48773.344949999999</v>
      </c>
      <c r="S11">
        <v>47535.469949999999</v>
      </c>
      <c r="T11">
        <v>55096.178180000003</v>
      </c>
      <c r="U11">
        <v>38616.326289999997</v>
      </c>
      <c r="V11">
        <v>93380.152359999993</v>
      </c>
      <c r="W11">
        <v>47437.37197</v>
      </c>
      <c r="X11">
        <v>73918.227239999993</v>
      </c>
      <c r="Y11">
        <v>48054.046979999999</v>
      </c>
      <c r="Z11">
        <v>35539.11262</v>
      </c>
      <c r="AA11">
        <v>54243.877500000002</v>
      </c>
      <c r="AB11">
        <v>59849.575149999997</v>
      </c>
      <c r="AC11">
        <v>70908.317630000005</v>
      </c>
      <c r="AD11">
        <v>113968.5251</v>
      </c>
      <c r="AE11">
        <v>50617.89097</v>
      </c>
      <c r="AF11">
        <v>101742.75870000001</v>
      </c>
      <c r="AG11">
        <v>56461.926099999997</v>
      </c>
      <c r="AH11">
        <v>95887.683739999993</v>
      </c>
      <c r="AI11">
        <v>48290.927029999999</v>
      </c>
      <c r="AJ11">
        <v>83881.913119999997</v>
      </c>
      <c r="AK11">
        <v>78344.398520000002</v>
      </c>
      <c r="AL11">
        <v>60761.621800000001</v>
      </c>
      <c r="AM11">
        <v>88937.491009999998</v>
      </c>
      <c r="AN11">
        <v>57240.467600000004</v>
      </c>
      <c r="AO11">
        <v>65903.037460000007</v>
      </c>
      <c r="AP11">
        <v>86661.760070000004</v>
      </c>
      <c r="AQ11">
        <v>64054.940439999998</v>
      </c>
      <c r="AR11">
        <v>96476.784719999996</v>
      </c>
      <c r="AT11">
        <v>165128.35920000001</v>
      </c>
    </row>
    <row r="12" spans="1:46" x14ac:dyDescent="0.2">
      <c r="A12" s="7" t="s">
        <v>281</v>
      </c>
      <c r="B12">
        <v>1347.431004</v>
      </c>
      <c r="C12">
        <v>1011.286236</v>
      </c>
      <c r="D12">
        <v>2057.121298</v>
      </c>
      <c r="E12">
        <v>1823.803584</v>
      </c>
      <c r="F12">
        <v>1578.3736249999999</v>
      </c>
      <c r="G12">
        <v>3336.8091559999998</v>
      </c>
      <c r="H12">
        <v>2082.9824199999998</v>
      </c>
      <c r="I12">
        <v>1384.341627</v>
      </c>
      <c r="J12">
        <v>1166.658083</v>
      </c>
      <c r="K12">
        <v>1812.848373</v>
      </c>
      <c r="L12">
        <v>1493.2812759999999</v>
      </c>
      <c r="M12">
        <v>1633.10502</v>
      </c>
      <c r="N12">
        <v>1296.5221349999999</v>
      </c>
      <c r="O12">
        <v>1443.6190329999999</v>
      </c>
      <c r="P12">
        <v>1504.731816</v>
      </c>
      <c r="Q12">
        <v>1194.4021869999999</v>
      </c>
      <c r="R12">
        <v>1042.548818</v>
      </c>
      <c r="S12">
        <v>1499.530319</v>
      </c>
      <c r="T12">
        <v>1341.564897</v>
      </c>
      <c r="U12">
        <v>1093.908821</v>
      </c>
      <c r="V12">
        <v>1452.9493070000001</v>
      </c>
      <c r="W12">
        <v>1557.339549</v>
      </c>
      <c r="X12">
        <v>1244.730589</v>
      </c>
      <c r="Y12">
        <v>864.32682580000005</v>
      </c>
      <c r="Z12">
        <v>922.34233900000004</v>
      </c>
      <c r="AA12">
        <v>1330.919302</v>
      </c>
      <c r="AB12">
        <v>1407.064435</v>
      </c>
      <c r="AC12">
        <v>1616.367696</v>
      </c>
      <c r="AD12">
        <v>1034.7515659999999</v>
      </c>
      <c r="AE12">
        <v>1048.9877140000001</v>
      </c>
      <c r="AF12">
        <v>1062.6021639999999</v>
      </c>
      <c r="AG12">
        <v>1753.5286209999999</v>
      </c>
      <c r="AH12">
        <v>1211.6337659999999</v>
      </c>
      <c r="AI12">
        <v>2554.085889</v>
      </c>
      <c r="AJ12">
        <v>1254.4399470000001</v>
      </c>
      <c r="AK12">
        <v>1337.7953010000001</v>
      </c>
      <c r="AL12">
        <v>1186.377025</v>
      </c>
      <c r="AM12">
        <v>1027.370181</v>
      </c>
      <c r="AN12">
        <v>1401.3496259999999</v>
      </c>
      <c r="AO12">
        <v>1210.3373819999999</v>
      </c>
      <c r="AP12">
        <v>1202.7041340000001</v>
      </c>
      <c r="AQ12">
        <v>1697.272068</v>
      </c>
      <c r="AR12">
        <v>1722.4070429999999</v>
      </c>
      <c r="AT12">
        <v>880.2866904</v>
      </c>
    </row>
    <row r="13" spans="1:46" x14ac:dyDescent="0.2">
      <c r="A13" s="7" t="s">
        <v>282</v>
      </c>
      <c r="B13">
        <v>60592.648309999997</v>
      </c>
      <c r="C13">
        <v>56636.967170000004</v>
      </c>
      <c r="D13">
        <v>93051.333410000007</v>
      </c>
      <c r="E13">
        <v>73992.563590000005</v>
      </c>
      <c r="F13">
        <v>58782.259850000002</v>
      </c>
      <c r="G13">
        <v>88431.135949999996</v>
      </c>
      <c r="H13">
        <v>64559.552320000003</v>
      </c>
      <c r="I13">
        <v>71558.822939999998</v>
      </c>
      <c r="J13">
        <v>49928.898569999998</v>
      </c>
      <c r="K13">
        <v>66570.881280000001</v>
      </c>
      <c r="L13">
        <v>65215.717859999997</v>
      </c>
      <c r="M13">
        <v>74846.299339999998</v>
      </c>
      <c r="N13">
        <v>71408.093479999996</v>
      </c>
      <c r="O13">
        <v>59268.389210000001</v>
      </c>
      <c r="P13">
        <v>71448.728090000004</v>
      </c>
      <c r="Q13">
        <v>51102.641519999997</v>
      </c>
      <c r="R13">
        <v>43526.650520000003</v>
      </c>
      <c r="S13">
        <v>76693.304709999997</v>
      </c>
      <c r="T13">
        <v>65988.399659999995</v>
      </c>
      <c r="U13">
        <v>52623.19601</v>
      </c>
      <c r="V13">
        <v>78704.192630000005</v>
      </c>
      <c r="W13">
        <v>71521.364690000002</v>
      </c>
      <c r="X13">
        <v>57226.67585</v>
      </c>
      <c r="Y13">
        <v>52033.007989999998</v>
      </c>
      <c r="Z13">
        <v>49637.061809999999</v>
      </c>
      <c r="AA13">
        <v>60037.547760000001</v>
      </c>
      <c r="AB13">
        <v>66243.723190000004</v>
      </c>
      <c r="AC13">
        <v>62756.603190000002</v>
      </c>
      <c r="AD13">
        <v>72269.571370000005</v>
      </c>
      <c r="AE13">
        <v>51052.512560000003</v>
      </c>
      <c r="AF13">
        <v>65232.031080000001</v>
      </c>
      <c r="AG13">
        <v>56049.008909999997</v>
      </c>
      <c r="AH13">
        <v>83036.806960000002</v>
      </c>
      <c r="AI13">
        <v>95175.786739999996</v>
      </c>
      <c r="AJ13">
        <v>73821.801370000001</v>
      </c>
      <c r="AK13">
        <v>89679.178849999997</v>
      </c>
      <c r="AL13">
        <v>65533.375760000003</v>
      </c>
      <c r="AM13">
        <v>69196.535350000006</v>
      </c>
      <c r="AN13">
        <v>57768.285430000004</v>
      </c>
      <c r="AO13">
        <v>58675.064339999997</v>
      </c>
      <c r="AP13">
        <v>71170.082779999997</v>
      </c>
      <c r="AQ13">
        <v>62616.454859999998</v>
      </c>
      <c r="AR13">
        <v>78134.401729999998</v>
      </c>
      <c r="AT13">
        <v>49422.63091</v>
      </c>
    </row>
    <row r="14" spans="1:46" x14ac:dyDescent="0.2">
      <c r="A14" s="7" t="s">
        <v>283</v>
      </c>
      <c r="B14">
        <v>579819.48259999999</v>
      </c>
      <c r="C14">
        <v>530321.56460000004</v>
      </c>
      <c r="D14">
        <v>893148.78090000001</v>
      </c>
      <c r="E14">
        <v>600379.73459999997</v>
      </c>
      <c r="F14">
        <v>706639.24120000005</v>
      </c>
      <c r="G14">
        <v>828039.28119999997</v>
      </c>
      <c r="H14">
        <v>645442.55249999999</v>
      </c>
      <c r="I14">
        <v>805889.24360000005</v>
      </c>
      <c r="J14">
        <v>535493.62569999998</v>
      </c>
      <c r="K14">
        <v>662906.87459999998</v>
      </c>
      <c r="L14">
        <v>542771.36780000001</v>
      </c>
      <c r="M14">
        <v>870009.44440000004</v>
      </c>
      <c r="N14">
        <v>813292.44149999996</v>
      </c>
      <c r="O14">
        <v>658503.16749999998</v>
      </c>
      <c r="P14">
        <v>779643.31370000006</v>
      </c>
      <c r="Q14">
        <v>430949.77899999998</v>
      </c>
      <c r="R14">
        <v>454207.18640000001</v>
      </c>
      <c r="S14">
        <v>699616.60730000003</v>
      </c>
      <c r="T14">
        <v>696647.46580000001</v>
      </c>
      <c r="U14">
        <v>448587.06140000001</v>
      </c>
      <c r="V14">
        <v>891127.24840000004</v>
      </c>
      <c r="W14">
        <v>633830.66399999999</v>
      </c>
      <c r="X14">
        <v>635850.45129999996</v>
      </c>
      <c r="Y14">
        <v>584408.34490000003</v>
      </c>
      <c r="Z14">
        <v>488233.59220000001</v>
      </c>
      <c r="AA14">
        <v>663362.33030000003</v>
      </c>
      <c r="AB14">
        <v>620015.91460000002</v>
      </c>
      <c r="AC14">
        <v>773418.11159999995</v>
      </c>
      <c r="AD14">
        <v>912203.72560000001</v>
      </c>
      <c r="AE14">
        <v>636776.1777</v>
      </c>
      <c r="AF14">
        <v>694818.98750000005</v>
      </c>
      <c r="AG14">
        <v>579891.19759999996</v>
      </c>
      <c r="AH14">
        <v>966402.6263</v>
      </c>
      <c r="AI14">
        <v>827675.15729999996</v>
      </c>
      <c r="AJ14">
        <v>968595.6557</v>
      </c>
      <c r="AK14">
        <v>928885.01089999999</v>
      </c>
      <c r="AL14">
        <v>788554.01089999999</v>
      </c>
      <c r="AM14">
        <v>776547.00630000001</v>
      </c>
      <c r="AN14">
        <v>614209.43429999996</v>
      </c>
      <c r="AO14">
        <v>685260.00139999995</v>
      </c>
      <c r="AP14">
        <v>903809.70640000002</v>
      </c>
      <c r="AQ14">
        <v>693385.39320000005</v>
      </c>
      <c r="AR14">
        <v>846371.42709999997</v>
      </c>
      <c r="AT14">
        <v>1090142.298</v>
      </c>
    </row>
    <row r="15" spans="1:46" x14ac:dyDescent="0.2">
      <c r="A15" s="7" t="s">
        <v>284</v>
      </c>
      <c r="B15">
        <v>153941.99660000001</v>
      </c>
      <c r="C15">
        <v>162547.82560000001</v>
      </c>
      <c r="D15">
        <v>276112.69939999998</v>
      </c>
      <c r="E15">
        <v>164873.91029999999</v>
      </c>
      <c r="F15">
        <v>161525.1525</v>
      </c>
      <c r="G15">
        <v>200513.5387</v>
      </c>
      <c r="H15">
        <v>139832.3193</v>
      </c>
      <c r="I15">
        <v>237874.0785</v>
      </c>
      <c r="J15">
        <v>137358.47029999999</v>
      </c>
      <c r="K15">
        <v>190815.2115</v>
      </c>
      <c r="L15">
        <v>144721.90489999999</v>
      </c>
      <c r="M15">
        <v>269877.06479999999</v>
      </c>
      <c r="N15">
        <v>240049.84109999999</v>
      </c>
      <c r="O15">
        <v>176224.6145</v>
      </c>
      <c r="P15">
        <v>172668.70110000001</v>
      </c>
      <c r="Q15">
        <v>116323.4173</v>
      </c>
      <c r="R15">
        <v>134831.45300000001</v>
      </c>
      <c r="S15">
        <v>178176.04459999999</v>
      </c>
      <c r="T15">
        <v>186495.4258</v>
      </c>
      <c r="U15">
        <v>126266.7533</v>
      </c>
      <c r="V15">
        <v>277775.76069999998</v>
      </c>
      <c r="W15">
        <v>148198.0937</v>
      </c>
      <c r="X15">
        <v>192820.40220000001</v>
      </c>
      <c r="Y15">
        <v>153479.7923</v>
      </c>
      <c r="Z15">
        <v>119866.29489999999</v>
      </c>
      <c r="AA15">
        <v>179894.4529</v>
      </c>
      <c r="AB15">
        <v>203899.56899999999</v>
      </c>
      <c r="AC15">
        <v>210101.7231</v>
      </c>
      <c r="AD15">
        <v>270989.35509999999</v>
      </c>
      <c r="AE15">
        <v>164325.62340000001</v>
      </c>
      <c r="AF15">
        <v>277990.86550000001</v>
      </c>
      <c r="AG15">
        <v>189561.85649999999</v>
      </c>
      <c r="AH15">
        <v>278328.32699999999</v>
      </c>
      <c r="AI15">
        <v>222942.29209999999</v>
      </c>
      <c r="AJ15">
        <v>277266.53090000001</v>
      </c>
      <c r="AK15">
        <v>300969.80450000003</v>
      </c>
      <c r="AL15">
        <v>182146.33670000001</v>
      </c>
      <c r="AM15">
        <v>217753.85200000001</v>
      </c>
      <c r="AN15">
        <v>199288.57670000001</v>
      </c>
      <c r="AO15">
        <v>191234.3034</v>
      </c>
      <c r="AP15">
        <v>240037.44219999999</v>
      </c>
      <c r="AQ15">
        <v>197287.30379999999</v>
      </c>
      <c r="AR15">
        <v>249591.9681</v>
      </c>
      <c r="AT15">
        <v>427783.21759999997</v>
      </c>
    </row>
    <row r="16" spans="1:46" x14ac:dyDescent="0.2">
      <c r="A16" s="7" t="s">
        <v>285</v>
      </c>
      <c r="B16">
        <v>1987041.8430000001</v>
      </c>
      <c r="C16">
        <v>1863583.2609999999</v>
      </c>
      <c r="D16">
        <v>2186743.5460000001</v>
      </c>
      <c r="E16">
        <v>2225468.19</v>
      </c>
      <c r="F16">
        <v>1884440.7150000001</v>
      </c>
      <c r="G16">
        <v>2095466.632</v>
      </c>
      <c r="H16">
        <v>1859413.5519999999</v>
      </c>
      <c r="I16">
        <v>1620080.331</v>
      </c>
      <c r="J16">
        <v>1750194.145</v>
      </c>
      <c r="K16">
        <v>1805151.07</v>
      </c>
      <c r="L16">
        <v>1623333.476</v>
      </c>
      <c r="M16">
        <v>1820044.379</v>
      </c>
      <c r="N16">
        <v>2052596.044</v>
      </c>
      <c r="O16">
        <v>1740025.581</v>
      </c>
      <c r="P16">
        <v>1738541.743</v>
      </c>
      <c r="Q16">
        <v>1711252.4790000001</v>
      </c>
      <c r="R16">
        <v>1257696.709</v>
      </c>
      <c r="S16">
        <v>2058333.4809999999</v>
      </c>
      <c r="T16">
        <v>2233289.2790000001</v>
      </c>
      <c r="U16">
        <v>1424705.9950000001</v>
      </c>
      <c r="V16">
        <v>2036068.4369999999</v>
      </c>
      <c r="W16">
        <v>1951648.6440000001</v>
      </c>
      <c r="X16">
        <v>1546318.2220000001</v>
      </c>
      <c r="Y16">
        <v>1485038.1040000001</v>
      </c>
      <c r="Z16">
        <v>1578237.1440000001</v>
      </c>
      <c r="AA16">
        <v>1729744.1939999999</v>
      </c>
      <c r="AB16">
        <v>1861375.87</v>
      </c>
      <c r="AC16">
        <v>2141471.8790000002</v>
      </c>
      <c r="AD16">
        <v>1540886.3030000001</v>
      </c>
      <c r="AE16">
        <v>1427073.7279999999</v>
      </c>
      <c r="AF16">
        <v>1731479.2120000001</v>
      </c>
      <c r="AG16">
        <v>2138306.1430000002</v>
      </c>
      <c r="AH16">
        <v>1658078.4650000001</v>
      </c>
      <c r="AI16">
        <v>2889570.0120000001</v>
      </c>
      <c r="AJ16">
        <v>1654558.781</v>
      </c>
      <c r="AK16">
        <v>1524447.94</v>
      </c>
      <c r="AL16">
        <v>1636935.3130000001</v>
      </c>
      <c r="AM16">
        <v>1405135.7339999999</v>
      </c>
      <c r="AN16">
        <v>1604986.0290000001</v>
      </c>
      <c r="AO16">
        <v>1612549.689</v>
      </c>
      <c r="AP16">
        <v>1929627.8130000001</v>
      </c>
      <c r="AQ16">
        <v>1858947.787</v>
      </c>
      <c r="AR16">
        <v>2192999.0649999999</v>
      </c>
      <c r="AT16">
        <v>1685418.31</v>
      </c>
    </row>
    <row r="17" spans="1:46" x14ac:dyDescent="0.2">
      <c r="A17" s="7" t="s">
        <v>286</v>
      </c>
      <c r="B17">
        <v>17286.285609999999</v>
      </c>
      <c r="C17">
        <v>22643.00231</v>
      </c>
      <c r="D17">
        <v>32594.264429999999</v>
      </c>
      <c r="E17">
        <v>24613.062470000001</v>
      </c>
      <c r="F17">
        <v>22264.6054</v>
      </c>
      <c r="G17">
        <v>21420.018919999999</v>
      </c>
      <c r="H17">
        <v>23458.186089999999</v>
      </c>
      <c r="I17">
        <v>36266.395839999997</v>
      </c>
      <c r="J17">
        <v>18919.54868</v>
      </c>
      <c r="K17">
        <v>24535.304410000001</v>
      </c>
      <c r="L17">
        <v>19117.7562</v>
      </c>
      <c r="M17">
        <v>27346.285489999998</v>
      </c>
      <c r="N17">
        <v>31935.712439999999</v>
      </c>
      <c r="O17">
        <v>24446.972570000002</v>
      </c>
      <c r="P17">
        <v>21507.35858</v>
      </c>
      <c r="Q17">
        <v>16222.7947</v>
      </c>
      <c r="R17">
        <v>20406.052250000001</v>
      </c>
      <c r="S17">
        <v>26210.019670000001</v>
      </c>
      <c r="T17">
        <v>32008.93174</v>
      </c>
      <c r="U17">
        <v>20537.957539999999</v>
      </c>
      <c r="V17">
        <v>36873.943359999997</v>
      </c>
      <c r="W17">
        <v>24114.356810000001</v>
      </c>
      <c r="X17">
        <v>22657.731739999999</v>
      </c>
      <c r="Y17">
        <v>21586.395260000001</v>
      </c>
      <c r="Z17">
        <v>18622.887170000002</v>
      </c>
      <c r="AA17">
        <v>28377.690729999998</v>
      </c>
      <c r="AB17">
        <v>24891.839680000001</v>
      </c>
      <c r="AC17">
        <v>32486.33973</v>
      </c>
      <c r="AD17">
        <v>21866.59662</v>
      </c>
      <c r="AE17">
        <v>27390.881890000001</v>
      </c>
      <c r="AF17">
        <v>22768.087950000001</v>
      </c>
      <c r="AG17">
        <v>25521.50375</v>
      </c>
      <c r="AH17">
        <v>32839.334450000002</v>
      </c>
      <c r="AI17">
        <v>29891.372810000001</v>
      </c>
      <c r="AJ17">
        <v>23029.518940000002</v>
      </c>
      <c r="AK17">
        <v>21997.58196</v>
      </c>
      <c r="AL17">
        <v>25200.421340000001</v>
      </c>
      <c r="AM17">
        <v>19381.26154</v>
      </c>
      <c r="AN17">
        <v>26296.825690000001</v>
      </c>
      <c r="AO17">
        <v>27839.654279999999</v>
      </c>
      <c r="AP17">
        <v>30517.82475</v>
      </c>
      <c r="AQ17">
        <v>28960.062000000002</v>
      </c>
      <c r="AR17">
        <v>40928.607810000001</v>
      </c>
      <c r="AT17">
        <v>114381.9281</v>
      </c>
    </row>
    <row r="18" spans="1:46" x14ac:dyDescent="0.2">
      <c r="A18" s="7" t="s">
        <v>287</v>
      </c>
      <c r="B18">
        <v>83892.555089999994</v>
      </c>
      <c r="C18">
        <v>65664.584629999998</v>
      </c>
      <c r="D18">
        <v>66495.399860000005</v>
      </c>
      <c r="E18">
        <v>102957.08560000001</v>
      </c>
      <c r="F18">
        <v>54290.17452</v>
      </c>
      <c r="G18">
        <v>67631.158190000002</v>
      </c>
      <c r="H18">
        <v>76823.208400000003</v>
      </c>
      <c r="I18">
        <v>41572.927600000003</v>
      </c>
      <c r="J18">
        <v>52867.605000000003</v>
      </c>
      <c r="K18">
        <v>50506.554080000002</v>
      </c>
      <c r="L18">
        <v>67396.837150000007</v>
      </c>
      <c r="M18">
        <v>52427.845459999997</v>
      </c>
      <c r="N18">
        <v>65681.278200000001</v>
      </c>
      <c r="O18">
        <v>66742.080189999993</v>
      </c>
      <c r="P18">
        <v>55949.455990000002</v>
      </c>
      <c r="Q18">
        <v>76652.989360000007</v>
      </c>
      <c r="R18">
        <v>40083.919099999999</v>
      </c>
      <c r="S18">
        <v>110238.3627</v>
      </c>
      <c r="T18">
        <v>85573.476330000005</v>
      </c>
      <c r="U18">
        <v>52081.369729999999</v>
      </c>
      <c r="V18">
        <v>52120.146630000003</v>
      </c>
      <c r="W18">
        <v>91063.444680000001</v>
      </c>
      <c r="X18">
        <v>48239.017019999999</v>
      </c>
      <c r="Y18">
        <v>61782.345029999997</v>
      </c>
      <c r="Z18">
        <v>80485.311679999999</v>
      </c>
      <c r="AA18">
        <v>59821.46142</v>
      </c>
      <c r="AB18">
        <v>74913.666140000001</v>
      </c>
      <c r="AC18">
        <v>57604.224049999997</v>
      </c>
      <c r="AD18">
        <v>33216.222719999998</v>
      </c>
      <c r="AE18">
        <v>36270.09203</v>
      </c>
      <c r="AF18">
        <v>31466.733069999998</v>
      </c>
      <c r="AG18">
        <v>59297.503830000001</v>
      </c>
      <c r="AH18">
        <v>38977.232909999999</v>
      </c>
      <c r="AI18">
        <v>93823.736680000002</v>
      </c>
      <c r="AJ18">
        <v>55906.496180000002</v>
      </c>
      <c r="AK18">
        <v>43604.300920000001</v>
      </c>
      <c r="AL18">
        <v>59035.621429999999</v>
      </c>
      <c r="AM18">
        <v>44858.386859999999</v>
      </c>
      <c r="AN18">
        <v>40912.629780000003</v>
      </c>
      <c r="AO18">
        <v>41626.691809999997</v>
      </c>
      <c r="AP18">
        <v>51290.075850000001</v>
      </c>
      <c r="AQ18">
        <v>56282.394200000002</v>
      </c>
      <c r="AR18">
        <v>46478.743699999999</v>
      </c>
      <c r="AT18">
        <v>63345.59201</v>
      </c>
    </row>
    <row r="19" spans="1:46" x14ac:dyDescent="0.2">
      <c r="A19" s="7" t="s">
        <v>288</v>
      </c>
      <c r="B19">
        <v>1329094.601</v>
      </c>
      <c r="C19">
        <v>1175620.1100000001</v>
      </c>
      <c r="D19">
        <v>1279881.5549999999</v>
      </c>
      <c r="E19">
        <v>1605487.0220000001</v>
      </c>
      <c r="F19">
        <v>1369747.9129999999</v>
      </c>
      <c r="G19">
        <v>1638921.3759999999</v>
      </c>
      <c r="H19">
        <v>1351912.85</v>
      </c>
      <c r="I19">
        <v>981518.57860000001</v>
      </c>
      <c r="J19">
        <v>1112587.3049999999</v>
      </c>
      <c r="K19">
        <v>1255540.182</v>
      </c>
      <c r="L19">
        <v>1123485.615</v>
      </c>
      <c r="M19">
        <v>1386332.0220000001</v>
      </c>
      <c r="N19">
        <v>1166964.6640000001</v>
      </c>
      <c r="O19">
        <v>1252678.4140000001</v>
      </c>
      <c r="P19">
        <v>1305221.5290000001</v>
      </c>
      <c r="Q19">
        <v>1179608.145</v>
      </c>
      <c r="R19">
        <v>831038.17150000005</v>
      </c>
      <c r="S19">
        <v>1561550.3359999999</v>
      </c>
      <c r="T19">
        <v>1482638.7590000001</v>
      </c>
      <c r="U19">
        <v>995809.69149999996</v>
      </c>
      <c r="V19">
        <v>1376931.344</v>
      </c>
      <c r="W19">
        <v>1410782.9920000001</v>
      </c>
      <c r="X19">
        <v>1048470.921</v>
      </c>
      <c r="Y19">
        <v>1129078.476</v>
      </c>
      <c r="Z19">
        <v>1125779.638</v>
      </c>
      <c r="AA19">
        <v>1286607.348</v>
      </c>
      <c r="AB19">
        <v>1348583.612</v>
      </c>
      <c r="AC19">
        <v>1480188.898</v>
      </c>
      <c r="AD19">
        <v>945035.62</v>
      </c>
      <c r="AE19">
        <v>1042303.5649999999</v>
      </c>
      <c r="AF19">
        <v>872747.70869999996</v>
      </c>
      <c r="AG19">
        <v>1447944.5989999999</v>
      </c>
      <c r="AH19">
        <v>1052336.0630000001</v>
      </c>
      <c r="AI19">
        <v>2255835.6430000002</v>
      </c>
      <c r="AJ19">
        <v>1199394.9550000001</v>
      </c>
      <c r="AK19">
        <v>942492.93409999995</v>
      </c>
      <c r="AL19">
        <v>1340552.58</v>
      </c>
      <c r="AM19">
        <v>1052951.5719999999</v>
      </c>
      <c r="AN19">
        <v>1177122.3529999999</v>
      </c>
      <c r="AO19">
        <v>1115517.6159999999</v>
      </c>
      <c r="AP19">
        <v>1243876.0460000001</v>
      </c>
      <c r="AQ19">
        <v>1300998.9180000001</v>
      </c>
      <c r="AR19">
        <v>1378748.142</v>
      </c>
      <c r="AT19">
        <v>656891.11430000002</v>
      </c>
    </row>
    <row r="20" spans="1:46" x14ac:dyDescent="0.2">
      <c r="A20" s="7" t="s">
        <v>289</v>
      </c>
      <c r="B20">
        <v>258576.07209999999</v>
      </c>
      <c r="C20">
        <v>240379.5258</v>
      </c>
      <c r="D20">
        <v>270509.20779999997</v>
      </c>
      <c r="E20">
        <v>306988.30780000001</v>
      </c>
      <c r="F20">
        <v>223489.71429999999</v>
      </c>
      <c r="G20">
        <v>331380.15649999998</v>
      </c>
      <c r="H20">
        <v>256043.21090000001</v>
      </c>
      <c r="I20">
        <v>206446.95360000001</v>
      </c>
      <c r="J20">
        <v>207501.02359999999</v>
      </c>
      <c r="K20">
        <v>257562.48149999999</v>
      </c>
      <c r="L20">
        <v>200271.61350000001</v>
      </c>
      <c r="M20">
        <v>281748.89130000002</v>
      </c>
      <c r="N20">
        <v>260021.1433</v>
      </c>
      <c r="O20">
        <v>276405.20169999998</v>
      </c>
      <c r="P20">
        <v>229285.5526</v>
      </c>
      <c r="Q20">
        <v>228699.85389999999</v>
      </c>
      <c r="R20">
        <v>167647.60709999999</v>
      </c>
      <c r="S20">
        <v>283839.38870000001</v>
      </c>
      <c r="T20">
        <v>293293.56719999999</v>
      </c>
      <c r="U20">
        <v>187717.04449999999</v>
      </c>
      <c r="V20">
        <v>275486.91190000001</v>
      </c>
      <c r="W20">
        <v>244688.9093</v>
      </c>
      <c r="X20">
        <v>223296.97560000001</v>
      </c>
      <c r="Y20">
        <v>189824.86859999999</v>
      </c>
      <c r="Z20">
        <v>209921.2139</v>
      </c>
      <c r="AA20">
        <v>235716.16039999999</v>
      </c>
      <c r="AB20">
        <v>290153.31920000003</v>
      </c>
      <c r="AC20">
        <v>263564.3921</v>
      </c>
      <c r="AD20">
        <v>190431.7836</v>
      </c>
      <c r="AE20">
        <v>208386.8259</v>
      </c>
      <c r="AF20">
        <v>214992.9731</v>
      </c>
      <c r="AG20">
        <v>302923.73220000003</v>
      </c>
      <c r="AH20">
        <v>211402.6213</v>
      </c>
      <c r="AI20">
        <v>387687.5588</v>
      </c>
      <c r="AJ20">
        <v>235623.61230000001</v>
      </c>
      <c r="AK20">
        <v>204127.28950000001</v>
      </c>
      <c r="AL20">
        <v>224649.6998</v>
      </c>
      <c r="AM20">
        <v>193836.60130000001</v>
      </c>
      <c r="AN20">
        <v>243706.15169999999</v>
      </c>
      <c r="AO20">
        <v>211619.69140000001</v>
      </c>
      <c r="AP20">
        <v>248653.2029</v>
      </c>
      <c r="AQ20">
        <v>284332.42940000002</v>
      </c>
      <c r="AR20">
        <v>262000.87479999999</v>
      </c>
      <c r="AT20">
        <v>207747.8008</v>
      </c>
    </row>
    <row r="21" spans="1:46" x14ac:dyDescent="0.2">
      <c r="A21" s="7" t="s">
        <v>290</v>
      </c>
      <c r="B21">
        <v>1585336.987</v>
      </c>
      <c r="C21">
        <v>1639060.7390000001</v>
      </c>
      <c r="D21">
        <v>1881305.341</v>
      </c>
      <c r="E21">
        <v>1851566.544</v>
      </c>
      <c r="F21">
        <v>1774516.588</v>
      </c>
      <c r="G21">
        <v>1420116.557</v>
      </c>
      <c r="H21">
        <v>1682117.078</v>
      </c>
      <c r="I21">
        <v>1539143</v>
      </c>
      <c r="J21">
        <v>1548351.6969999999</v>
      </c>
      <c r="K21">
        <v>1601915.027</v>
      </c>
      <c r="L21">
        <v>1511382.5789999999</v>
      </c>
      <c r="M21">
        <v>1846460.5020000001</v>
      </c>
      <c r="N21">
        <v>1971840.22</v>
      </c>
      <c r="O21">
        <v>1507499.2290000001</v>
      </c>
      <c r="P21">
        <v>1581925.5</v>
      </c>
      <c r="Q21">
        <v>1493254.4469999999</v>
      </c>
      <c r="R21">
        <v>1081741.7120000001</v>
      </c>
      <c r="S21">
        <v>1833835.3019999999</v>
      </c>
      <c r="T21">
        <v>1957558.308</v>
      </c>
      <c r="U21">
        <v>1201511.0819999999</v>
      </c>
      <c r="V21">
        <v>1915529.46</v>
      </c>
      <c r="W21">
        <v>1744671.946</v>
      </c>
      <c r="X21">
        <v>1379383.095</v>
      </c>
      <c r="Y21">
        <v>1468423.8389999999</v>
      </c>
      <c r="Z21">
        <v>1384934.4879999999</v>
      </c>
      <c r="AA21">
        <v>1668264.791</v>
      </c>
      <c r="AB21">
        <v>1671986.085</v>
      </c>
      <c r="AC21">
        <v>1911703.2439999999</v>
      </c>
      <c r="AD21">
        <v>1522710.4410000001</v>
      </c>
      <c r="AE21">
        <v>1283111.5660000001</v>
      </c>
      <c r="AF21">
        <v>1764316.5390000001</v>
      </c>
      <c r="AG21">
        <v>1902306.362</v>
      </c>
      <c r="AH21">
        <v>1568553.1129999999</v>
      </c>
      <c r="AI21">
        <v>1926992.2039999999</v>
      </c>
      <c r="AJ21">
        <v>1492712.453</v>
      </c>
      <c r="AK21">
        <v>1463369.5419999999</v>
      </c>
      <c r="AL21">
        <v>1587738.6129999999</v>
      </c>
      <c r="AM21">
        <v>1418970.7490000001</v>
      </c>
      <c r="AN21">
        <v>1452339.27</v>
      </c>
      <c r="AO21">
        <v>1491823.5079999999</v>
      </c>
      <c r="AP21">
        <v>1891247.6710000001</v>
      </c>
      <c r="AQ21">
        <v>1721025.2720000001</v>
      </c>
      <c r="AR21">
        <v>2011318.0719999999</v>
      </c>
      <c r="AT21">
        <v>2184820.1260000002</v>
      </c>
    </row>
    <row r="22" spans="1:46" x14ac:dyDescent="0.2">
      <c r="A22" s="7" t="s">
        <v>291</v>
      </c>
      <c r="B22">
        <v>5715.3615540000001</v>
      </c>
      <c r="C22">
        <v>4299.4784099999997</v>
      </c>
      <c r="D22">
        <v>6109.1494510000002</v>
      </c>
      <c r="E22">
        <v>7144.334339</v>
      </c>
      <c r="F22">
        <v>4989.0747229999997</v>
      </c>
      <c r="G22">
        <v>8528.5118880000009</v>
      </c>
      <c r="H22">
        <v>6191.8801270000004</v>
      </c>
      <c r="I22">
        <v>5547.8310179999999</v>
      </c>
      <c r="J22">
        <v>4535.0257529999999</v>
      </c>
      <c r="K22">
        <v>5670.8721219999998</v>
      </c>
      <c r="L22">
        <v>7008.0120070000003</v>
      </c>
      <c r="M22">
        <v>5761.5609469999999</v>
      </c>
      <c r="N22">
        <v>6035.7540360000003</v>
      </c>
      <c r="O22">
        <v>5754.0414419999997</v>
      </c>
      <c r="P22">
        <v>6416.0156319999996</v>
      </c>
      <c r="Q22">
        <v>4918.3585119999998</v>
      </c>
      <c r="R22">
        <v>3652.129817</v>
      </c>
      <c r="S22">
        <v>7431.4856609999997</v>
      </c>
      <c r="T22">
        <v>5651.6905569999999</v>
      </c>
      <c r="U22">
        <v>4654.6297249999998</v>
      </c>
      <c r="V22">
        <v>6857.6007060000002</v>
      </c>
      <c r="W22">
        <v>6441.9068889999999</v>
      </c>
      <c r="X22">
        <v>4569.622942</v>
      </c>
      <c r="Y22">
        <v>4523.5970390000002</v>
      </c>
      <c r="Z22">
        <v>4757.0217229999998</v>
      </c>
      <c r="AA22">
        <v>5873.3086929999999</v>
      </c>
      <c r="AB22">
        <v>5903.2698810000002</v>
      </c>
      <c r="AC22">
        <v>5043.9633540000004</v>
      </c>
      <c r="AD22">
        <v>4880.3224840000003</v>
      </c>
      <c r="AE22">
        <v>4552.8862419999996</v>
      </c>
      <c r="AF22">
        <v>4688.42083</v>
      </c>
      <c r="AG22">
        <v>5310.1463590000003</v>
      </c>
      <c r="AH22">
        <v>6473.3811530000003</v>
      </c>
      <c r="AI22">
        <v>9803.3239250000006</v>
      </c>
      <c r="AJ22">
        <v>5379.9408039999998</v>
      </c>
      <c r="AK22">
        <v>10560.44888</v>
      </c>
      <c r="AL22">
        <v>5964.786368</v>
      </c>
      <c r="AM22">
        <v>5447.731726</v>
      </c>
      <c r="AN22">
        <v>4769.9874520000003</v>
      </c>
      <c r="AO22">
        <v>4391.9039000000002</v>
      </c>
      <c r="AP22">
        <v>5999.9416490000003</v>
      </c>
      <c r="AQ22">
        <v>6066.5536220000004</v>
      </c>
      <c r="AR22">
        <v>5732.4424689999996</v>
      </c>
      <c r="AT22">
        <v>1922.9088320000001</v>
      </c>
    </row>
    <row r="23" spans="1:46" x14ac:dyDescent="0.2">
      <c r="A23" s="7" t="s">
        <v>292</v>
      </c>
      <c r="B23">
        <v>16200.63005</v>
      </c>
      <c r="C23">
        <v>13659.771140000001</v>
      </c>
      <c r="D23">
        <v>17755.16372</v>
      </c>
      <c r="E23">
        <v>18058.172460000002</v>
      </c>
      <c r="F23">
        <v>13619.13823</v>
      </c>
      <c r="G23">
        <v>26529.565869999999</v>
      </c>
      <c r="H23">
        <v>15462.94607</v>
      </c>
      <c r="I23">
        <v>14796.35341</v>
      </c>
      <c r="J23">
        <v>12098.67642</v>
      </c>
      <c r="K23">
        <v>14128.367389999999</v>
      </c>
      <c r="L23">
        <v>13002.528850000001</v>
      </c>
      <c r="M23">
        <v>17638.85972</v>
      </c>
      <c r="N23">
        <v>13995.576730000001</v>
      </c>
      <c r="O23">
        <v>15658.866019999999</v>
      </c>
      <c r="P23">
        <v>14707.0803</v>
      </c>
      <c r="Q23">
        <v>14175.910970000001</v>
      </c>
      <c r="R23">
        <v>10018.273999999999</v>
      </c>
      <c r="S23">
        <v>16712.21787</v>
      </c>
      <c r="T23">
        <v>16561.948230000002</v>
      </c>
      <c r="U23">
        <v>10975.484</v>
      </c>
      <c r="V23">
        <v>16551.237000000001</v>
      </c>
      <c r="W23">
        <v>15033.43471</v>
      </c>
      <c r="X23">
        <v>15739.82834</v>
      </c>
      <c r="Y23">
        <v>11888.253000000001</v>
      </c>
      <c r="Z23">
        <v>13397.52706</v>
      </c>
      <c r="AA23">
        <v>12643.470369999999</v>
      </c>
      <c r="AB23">
        <v>14256.7058</v>
      </c>
      <c r="AC23">
        <v>17353.152999999998</v>
      </c>
      <c r="AD23">
        <v>13776.898279999999</v>
      </c>
      <c r="AE23">
        <v>12243.416869999999</v>
      </c>
      <c r="AF23">
        <v>12024.648300000001</v>
      </c>
      <c r="AG23">
        <v>16832.11406</v>
      </c>
      <c r="AH23">
        <v>15108.73595</v>
      </c>
      <c r="AI23">
        <v>27644.598610000001</v>
      </c>
      <c r="AJ23">
        <v>17471.868299999998</v>
      </c>
      <c r="AK23">
        <v>39063.376300000004</v>
      </c>
      <c r="AL23">
        <v>14522.92078</v>
      </c>
      <c r="AM23">
        <v>15686.60029</v>
      </c>
      <c r="AN23">
        <v>14054.81091</v>
      </c>
      <c r="AO23">
        <v>11705.229310000001</v>
      </c>
      <c r="AP23">
        <v>14659.38579</v>
      </c>
      <c r="AQ23">
        <v>13067.24504</v>
      </c>
      <c r="AR23">
        <v>16265.9323</v>
      </c>
      <c r="AT23">
        <v>6152.9960799999999</v>
      </c>
    </row>
    <row r="24" spans="1:46" x14ac:dyDescent="0.2">
      <c r="A24" s="7" t="s">
        <v>293</v>
      </c>
      <c r="B24">
        <v>415433.13660000003</v>
      </c>
      <c r="C24">
        <v>355793.7672</v>
      </c>
      <c r="D24">
        <v>407954.59100000001</v>
      </c>
      <c r="E24">
        <v>475656.54499999998</v>
      </c>
      <c r="F24">
        <v>500303.24469999998</v>
      </c>
      <c r="G24">
        <v>389766.4387</v>
      </c>
      <c r="H24">
        <v>452998.38150000002</v>
      </c>
      <c r="I24">
        <v>382344.929</v>
      </c>
      <c r="J24">
        <v>426861.7524</v>
      </c>
      <c r="K24">
        <v>417729.68709999998</v>
      </c>
      <c r="L24">
        <v>434631.15749999997</v>
      </c>
      <c r="M24">
        <v>455183.31890000001</v>
      </c>
      <c r="N24">
        <v>460931.4461</v>
      </c>
      <c r="O24">
        <v>353932.5822</v>
      </c>
      <c r="P24">
        <v>425525.17910000001</v>
      </c>
      <c r="Q24">
        <v>370297.65769999998</v>
      </c>
      <c r="R24">
        <v>247138.26139999999</v>
      </c>
      <c r="S24">
        <v>498588.82610000001</v>
      </c>
      <c r="T24">
        <v>449649.07</v>
      </c>
      <c r="U24">
        <v>320839.33490000002</v>
      </c>
      <c r="V24">
        <v>479931.0662</v>
      </c>
      <c r="W24">
        <v>488678.29509999999</v>
      </c>
      <c r="X24">
        <v>320381.07010000001</v>
      </c>
      <c r="Y24">
        <v>349990.96090000001</v>
      </c>
      <c r="Z24">
        <v>288672.63319999998</v>
      </c>
      <c r="AA24">
        <v>410811.37150000001</v>
      </c>
      <c r="AB24">
        <v>412983.85769999999</v>
      </c>
      <c r="AC24">
        <v>448617.5306</v>
      </c>
      <c r="AD24">
        <v>315601.90580000001</v>
      </c>
      <c r="AE24">
        <v>310049.47879999998</v>
      </c>
      <c r="AF24">
        <v>357444.67540000001</v>
      </c>
      <c r="AG24">
        <v>388101.2708</v>
      </c>
      <c r="AH24">
        <v>376444.59100000001</v>
      </c>
      <c r="AI24">
        <v>443098.04200000002</v>
      </c>
      <c r="AJ24">
        <v>352734.09289999999</v>
      </c>
      <c r="AK24">
        <v>583163.21140000003</v>
      </c>
      <c r="AL24">
        <v>420426.97389999998</v>
      </c>
      <c r="AM24">
        <v>374381.02510000003</v>
      </c>
      <c r="AN24">
        <v>360629.7512</v>
      </c>
      <c r="AO24">
        <v>379596.79139999999</v>
      </c>
      <c r="AP24">
        <v>391573.8076</v>
      </c>
      <c r="AQ24">
        <v>398994.47989999998</v>
      </c>
      <c r="AR24">
        <v>472789.20630000002</v>
      </c>
      <c r="AT24">
        <v>403688.03899999999</v>
      </c>
    </row>
    <row r="25" spans="1:46" x14ac:dyDescent="0.2">
      <c r="A25" s="7" t="s">
        <v>294</v>
      </c>
      <c r="B25">
        <v>206833.52710000001</v>
      </c>
      <c r="C25">
        <v>204762.13219999999</v>
      </c>
      <c r="D25">
        <v>248567.80619999999</v>
      </c>
      <c r="E25">
        <v>233876.82519999999</v>
      </c>
      <c r="F25">
        <v>237168.6966</v>
      </c>
      <c r="G25">
        <v>204919.76319999999</v>
      </c>
      <c r="H25">
        <v>211951.18040000001</v>
      </c>
      <c r="I25">
        <v>219699.74069999999</v>
      </c>
      <c r="J25">
        <v>209729.56159999999</v>
      </c>
      <c r="K25">
        <v>233610.50769999999</v>
      </c>
      <c r="L25">
        <v>196911.08979999999</v>
      </c>
      <c r="M25">
        <v>268987.82250000001</v>
      </c>
      <c r="N25">
        <v>245043.5563</v>
      </c>
      <c r="O25">
        <v>214446.1367</v>
      </c>
      <c r="P25">
        <v>213545.951</v>
      </c>
      <c r="Q25">
        <v>173431.64809999999</v>
      </c>
      <c r="R25">
        <v>167589.73209999999</v>
      </c>
      <c r="S25">
        <v>225288.3296</v>
      </c>
      <c r="T25">
        <v>258315.15650000001</v>
      </c>
      <c r="U25">
        <v>155435.18100000001</v>
      </c>
      <c r="V25">
        <v>280599.51199999999</v>
      </c>
      <c r="W25">
        <v>232053.27059999999</v>
      </c>
      <c r="X25">
        <v>200262.8419</v>
      </c>
      <c r="Y25">
        <v>171773.02540000001</v>
      </c>
      <c r="Z25">
        <v>152772.99960000001</v>
      </c>
      <c r="AA25">
        <v>200983.12220000001</v>
      </c>
      <c r="AB25">
        <v>249108.5673</v>
      </c>
      <c r="AC25">
        <v>239682.2316</v>
      </c>
      <c r="AD25">
        <v>191329.72140000001</v>
      </c>
      <c r="AE25">
        <v>191857.72039999999</v>
      </c>
      <c r="AF25">
        <v>240328.0276</v>
      </c>
      <c r="AG25">
        <v>277514.13079999998</v>
      </c>
      <c r="AH25">
        <v>203708.3328</v>
      </c>
      <c r="AI25">
        <v>248949.88440000001</v>
      </c>
      <c r="AJ25">
        <v>195978.40349999999</v>
      </c>
      <c r="AK25">
        <v>200835.6722</v>
      </c>
      <c r="AL25">
        <v>214258.32740000001</v>
      </c>
      <c r="AM25">
        <v>193252.29120000001</v>
      </c>
      <c r="AN25">
        <v>216958.9345</v>
      </c>
      <c r="AO25">
        <v>212928.24369999999</v>
      </c>
      <c r="AP25">
        <v>258181.96059999999</v>
      </c>
      <c r="AQ25">
        <v>258216.07339999999</v>
      </c>
      <c r="AR25">
        <v>287131.2341</v>
      </c>
      <c r="AT25">
        <v>353540.21980000002</v>
      </c>
    </row>
    <row r="26" spans="1:46" x14ac:dyDescent="0.2">
      <c r="A26" s="7" t="s">
        <v>295</v>
      </c>
      <c r="B26">
        <v>55050.12833</v>
      </c>
      <c r="C26">
        <v>49187.948279999997</v>
      </c>
      <c r="D26">
        <v>67397.656369999997</v>
      </c>
      <c r="E26">
        <v>64884.847800000003</v>
      </c>
      <c r="F26">
        <v>60682.044739999998</v>
      </c>
      <c r="G26">
        <v>54193.424420000003</v>
      </c>
      <c r="H26">
        <v>51266.248540000001</v>
      </c>
      <c r="I26">
        <v>52743.174910000002</v>
      </c>
      <c r="J26">
        <v>47310.409460000003</v>
      </c>
      <c r="K26">
        <v>60315.732470000003</v>
      </c>
      <c r="L26">
        <v>59700.099920000001</v>
      </c>
      <c r="M26">
        <v>61279.288050000003</v>
      </c>
      <c r="N26">
        <v>54042.391810000001</v>
      </c>
      <c r="O26">
        <v>57917.645299999996</v>
      </c>
      <c r="P26">
        <v>49799.217779999999</v>
      </c>
      <c r="Q26">
        <v>31145.712210000002</v>
      </c>
      <c r="R26">
        <v>36291.734640000002</v>
      </c>
      <c r="S26">
        <v>51843.873200000002</v>
      </c>
      <c r="T26">
        <v>60031.733460000003</v>
      </c>
      <c r="U26">
        <v>29895.784609999999</v>
      </c>
      <c r="V26">
        <v>55348.019919999999</v>
      </c>
      <c r="W26">
        <v>41692.387690000003</v>
      </c>
      <c r="X26">
        <v>44693.385920000001</v>
      </c>
      <c r="Y26">
        <v>35373.180079999998</v>
      </c>
      <c r="Z26">
        <v>32872.139060000001</v>
      </c>
      <c r="AA26">
        <v>47115.711060000001</v>
      </c>
      <c r="AB26">
        <v>51730.119469999998</v>
      </c>
      <c r="AC26">
        <v>47195.732400000001</v>
      </c>
      <c r="AD26">
        <v>31008.176149999999</v>
      </c>
      <c r="AE26">
        <v>38347.861879999997</v>
      </c>
      <c r="AF26">
        <v>36794.067660000001</v>
      </c>
      <c r="AG26">
        <v>64447.230689999997</v>
      </c>
      <c r="AH26">
        <v>36297.337449999999</v>
      </c>
      <c r="AI26">
        <v>46844.195030000003</v>
      </c>
      <c r="AJ26">
        <v>40568.163059999999</v>
      </c>
      <c r="AK26">
        <v>62014.484020000004</v>
      </c>
      <c r="AL26">
        <v>37606.122860000003</v>
      </c>
      <c r="AM26">
        <v>32212.564780000001</v>
      </c>
      <c r="AN26">
        <v>42888.984539999998</v>
      </c>
      <c r="AO26">
        <v>43165.575689999998</v>
      </c>
      <c r="AP26">
        <v>46737.196660000001</v>
      </c>
      <c r="AQ26">
        <v>61463.206160000002</v>
      </c>
      <c r="AR26">
        <v>62116.250319999999</v>
      </c>
      <c r="AT26">
        <v>104040.2801</v>
      </c>
    </row>
    <row r="27" spans="1:46" x14ac:dyDescent="0.2">
      <c r="A27" s="13" t="s">
        <v>256</v>
      </c>
      <c r="B27">
        <v>4.2608798000000003E-2</v>
      </c>
      <c r="C27">
        <v>5.3075794000000003E-2</v>
      </c>
      <c r="D27">
        <v>8.9195635999999995E-2</v>
      </c>
      <c r="E27">
        <v>4.5825937999999997E-2</v>
      </c>
      <c r="F27">
        <v>5.4708179000000003E-2</v>
      </c>
      <c r="G27">
        <v>7.3806695000000005E-2</v>
      </c>
      <c r="H27">
        <v>8.8308243999999994E-2</v>
      </c>
      <c r="I27">
        <v>7.9542585999999998E-2</v>
      </c>
      <c r="J27">
        <v>6.0019965000000002E-2</v>
      </c>
      <c r="K27">
        <v>7.4385741000000005E-2</v>
      </c>
      <c r="L27">
        <v>5.8675643E-2</v>
      </c>
      <c r="M27">
        <v>7.1799274999999996E-2</v>
      </c>
      <c r="N27">
        <v>7.5966566999999999E-2</v>
      </c>
      <c r="O27">
        <v>6.9682455000000004E-2</v>
      </c>
      <c r="P27">
        <v>4.7417587999999997E-2</v>
      </c>
      <c r="Q27">
        <v>4.3620733000000002E-2</v>
      </c>
      <c r="R27">
        <v>0.105378396</v>
      </c>
      <c r="S27">
        <v>4.2390335000000001E-2</v>
      </c>
      <c r="T27">
        <v>3.9118950999999999E-2</v>
      </c>
      <c r="U27">
        <v>7.3427852000000002E-2</v>
      </c>
      <c r="V27">
        <v>4.4862941000000003E-2</v>
      </c>
      <c r="W27">
        <v>5.0465182999999997E-2</v>
      </c>
      <c r="X27">
        <v>9.0441275000000002E-2</v>
      </c>
      <c r="Y27">
        <v>5.6921339000000001E-2</v>
      </c>
      <c r="Z27">
        <v>7.0489162999999994E-2</v>
      </c>
      <c r="AA27">
        <v>5.0233229999999997E-2</v>
      </c>
      <c r="AB27">
        <v>5.0169387000000003E-2</v>
      </c>
      <c r="AC27">
        <v>4.2369068000000003E-2</v>
      </c>
      <c r="AD27">
        <v>6.4622913000000004E-2</v>
      </c>
      <c r="AE27">
        <v>8.2885311000000003E-2</v>
      </c>
      <c r="AF27">
        <v>6.2241286999999999E-2</v>
      </c>
      <c r="AG27">
        <v>6.5395172000000001E-2</v>
      </c>
      <c r="AH27">
        <v>4.7039739999999997E-2</v>
      </c>
      <c r="AI27">
        <v>4.5824965000000002E-2</v>
      </c>
      <c r="AJ27">
        <v>5.2217215999999997E-2</v>
      </c>
      <c r="AK27">
        <v>4.7557625999999999E-2</v>
      </c>
      <c r="AL27">
        <v>4.9372797000000003E-2</v>
      </c>
      <c r="AM27">
        <v>5.3752750000000002E-2</v>
      </c>
      <c r="AN27">
        <v>5.777881E-2</v>
      </c>
      <c r="AO27">
        <v>5.3475267999999999E-2</v>
      </c>
      <c r="AP27">
        <v>5.2645062999999999E-2</v>
      </c>
      <c r="AQ27">
        <v>7.5518603000000004E-2</v>
      </c>
      <c r="AR27">
        <v>4.4501022000000001E-2</v>
      </c>
      <c r="AT27">
        <v>5.3999893E-2</v>
      </c>
    </row>
    <row r="28" spans="1:46" x14ac:dyDescent="0.2">
      <c r="A28" s="13" t="s">
        <v>257</v>
      </c>
      <c r="B28">
        <v>19.038165379999999</v>
      </c>
      <c r="C28">
        <v>21.957501860000001</v>
      </c>
      <c r="D28">
        <v>24.810089170000001</v>
      </c>
      <c r="E28">
        <v>21.834221419999999</v>
      </c>
      <c r="F28">
        <v>21.782330869999999</v>
      </c>
      <c r="G28">
        <v>23.350950399999999</v>
      </c>
      <c r="H28">
        <v>32.344499540000001</v>
      </c>
      <c r="I28">
        <v>27.74221253</v>
      </c>
      <c r="J28">
        <v>29.780715480000001</v>
      </c>
      <c r="K28">
        <v>26.39792976</v>
      </c>
      <c r="L28">
        <v>30.884190149999998</v>
      </c>
      <c r="M28">
        <v>21.78565918</v>
      </c>
      <c r="N28">
        <v>22.756546549999999</v>
      </c>
      <c r="O28">
        <v>22.337977290000001</v>
      </c>
      <c r="P28">
        <v>18.866133900000001</v>
      </c>
      <c r="Q28">
        <v>21.980913279999999</v>
      </c>
      <c r="R28">
        <v>35.981944560000002</v>
      </c>
      <c r="S28">
        <v>18.619364780000002</v>
      </c>
      <c r="T28">
        <v>16.575032660000002</v>
      </c>
      <c r="U28">
        <v>26.933804930000001</v>
      </c>
      <c r="V28">
        <v>15.979447670000001</v>
      </c>
      <c r="W28">
        <v>21.445486930000001</v>
      </c>
      <c r="X28">
        <v>24.618795949999999</v>
      </c>
      <c r="Y28">
        <v>18.665632410000001</v>
      </c>
      <c r="Z28">
        <v>22.35959927</v>
      </c>
      <c r="AA28">
        <v>15.62844173</v>
      </c>
      <c r="AB28">
        <v>17.545169420000001</v>
      </c>
      <c r="AC28">
        <v>12.73502197</v>
      </c>
      <c r="AD28">
        <v>16.114664099999999</v>
      </c>
      <c r="AE28">
        <v>24.02233008</v>
      </c>
      <c r="AF28">
        <v>20.03194268</v>
      </c>
      <c r="AG28">
        <v>21.439303750000001</v>
      </c>
      <c r="AH28">
        <v>13.20950274</v>
      </c>
      <c r="AI28">
        <v>11.19215002</v>
      </c>
      <c r="AJ28">
        <v>12.97991992</v>
      </c>
      <c r="AK28">
        <v>11.056656930000001</v>
      </c>
      <c r="AL28">
        <v>14.88974402</v>
      </c>
      <c r="AM28">
        <v>15.56304141</v>
      </c>
      <c r="AN28">
        <v>18.51697021</v>
      </c>
      <c r="AO28">
        <v>17.920542749999999</v>
      </c>
      <c r="AP28">
        <v>16.634462580000001</v>
      </c>
      <c r="AQ28">
        <v>22.40897588</v>
      </c>
      <c r="AR28">
        <v>13.63163887</v>
      </c>
      <c r="AT28">
        <v>17.995229850000001</v>
      </c>
    </row>
    <row r="29" spans="1:46" x14ac:dyDescent="0.2">
      <c r="A29" s="13" t="s">
        <v>258</v>
      </c>
      <c r="B29">
        <v>0.40066628599999998</v>
      </c>
      <c r="C29">
        <v>0.47034833799999998</v>
      </c>
      <c r="D29">
        <v>0.84987246500000002</v>
      </c>
      <c r="E29">
        <v>0.41344246299999998</v>
      </c>
      <c r="F29">
        <v>0.51380971499999994</v>
      </c>
      <c r="G29">
        <v>0.45883575900000001</v>
      </c>
      <c r="H29">
        <v>0.72697694599999996</v>
      </c>
      <c r="I29">
        <v>0.85278447899999998</v>
      </c>
      <c r="J29">
        <v>0.55953283700000001</v>
      </c>
      <c r="K29">
        <v>0.76327634</v>
      </c>
      <c r="L29">
        <v>0.5011253</v>
      </c>
      <c r="M29">
        <v>0.74543136099999996</v>
      </c>
      <c r="N29">
        <v>0.63970974400000002</v>
      </c>
      <c r="O29">
        <v>0.70456678500000003</v>
      </c>
      <c r="P29">
        <v>0.47642842200000002</v>
      </c>
      <c r="Q29">
        <v>0.49651669399999998</v>
      </c>
      <c r="R29">
        <v>1.2701289529999999</v>
      </c>
      <c r="S29">
        <v>0.45039330999999999</v>
      </c>
      <c r="T29">
        <v>0.45726626199999998</v>
      </c>
      <c r="U29">
        <v>0.82272045999999999</v>
      </c>
      <c r="V29">
        <v>0.58702304900000002</v>
      </c>
      <c r="W29">
        <v>0.56391455499999998</v>
      </c>
      <c r="X29">
        <v>1.050686341</v>
      </c>
      <c r="Y29">
        <v>0.54812972400000004</v>
      </c>
      <c r="Z29">
        <v>0.65908697999999999</v>
      </c>
      <c r="AA29">
        <v>0.42678017800000001</v>
      </c>
      <c r="AB29">
        <v>0.56580301300000002</v>
      </c>
      <c r="AC29">
        <v>0.42840048600000002</v>
      </c>
      <c r="AD29">
        <v>0.67654534700000002</v>
      </c>
      <c r="AE29">
        <v>0.82695835100000004</v>
      </c>
      <c r="AF29">
        <v>0.85655210999999998</v>
      </c>
      <c r="AG29">
        <v>0.68989503399999996</v>
      </c>
      <c r="AH29">
        <v>0.43866822599999999</v>
      </c>
      <c r="AI29">
        <v>0.26897456800000002</v>
      </c>
      <c r="AJ29">
        <v>0.52621905599999996</v>
      </c>
      <c r="AK29">
        <v>0.44910896700000003</v>
      </c>
      <c r="AL29">
        <v>0.427385246</v>
      </c>
      <c r="AM29">
        <v>0.61383473200000005</v>
      </c>
      <c r="AN29">
        <v>0.61489826599999997</v>
      </c>
      <c r="AO29">
        <v>0.55649313899999997</v>
      </c>
      <c r="AP29">
        <v>0.58806827500000003</v>
      </c>
      <c r="AQ29">
        <v>0.76177919800000005</v>
      </c>
      <c r="AR29">
        <v>0.46847882400000002</v>
      </c>
      <c r="AT29">
        <v>0.69766929300000002</v>
      </c>
    </row>
    <row r="30" spans="1:46" x14ac:dyDescent="0.2">
      <c r="A30" s="13" t="s">
        <v>259</v>
      </c>
      <c r="B30">
        <v>12.22857104</v>
      </c>
      <c r="C30">
        <v>14.74699171</v>
      </c>
      <c r="D30">
        <v>14.308205109999999</v>
      </c>
      <c r="E30">
        <v>15.95597703</v>
      </c>
      <c r="F30">
        <v>14.705394910000001</v>
      </c>
      <c r="G30">
        <v>20.851979289999999</v>
      </c>
      <c r="H30">
        <v>22.52354953</v>
      </c>
      <c r="I30">
        <v>16.898889659999998</v>
      </c>
      <c r="J30">
        <v>15.959232399999999</v>
      </c>
      <c r="K30">
        <v>15.669421120000001</v>
      </c>
      <c r="L30">
        <v>16.851524449999999</v>
      </c>
      <c r="M30">
        <v>13.59100293</v>
      </c>
      <c r="N30">
        <v>12.84165924</v>
      </c>
      <c r="O30">
        <v>14.22036758</v>
      </c>
      <c r="P30">
        <v>12.9114658</v>
      </c>
      <c r="Q30">
        <v>12.615481129999999</v>
      </c>
      <c r="R30">
        <v>19.197436620000001</v>
      </c>
      <c r="S30">
        <v>11.783531350000001</v>
      </c>
      <c r="T30">
        <v>8.682412588</v>
      </c>
      <c r="U30">
        <v>15.99425394</v>
      </c>
      <c r="V30">
        <v>9.3464038540000001</v>
      </c>
      <c r="W30">
        <v>11.8480154</v>
      </c>
      <c r="X30">
        <v>14.411539019999999</v>
      </c>
      <c r="Y30">
        <v>11.926374340000001</v>
      </c>
      <c r="Z30">
        <v>15.43515101</v>
      </c>
      <c r="AA30">
        <v>10.40209829</v>
      </c>
      <c r="AB30">
        <v>10.59265783</v>
      </c>
      <c r="AC30">
        <v>7.5198893389999997</v>
      </c>
      <c r="AD30">
        <v>7.9657993009999997</v>
      </c>
      <c r="AE30">
        <v>14.96560012</v>
      </c>
      <c r="AF30">
        <v>7.9874065300000003</v>
      </c>
      <c r="AG30">
        <v>11.0857481</v>
      </c>
      <c r="AH30">
        <v>8.8049504429999992</v>
      </c>
      <c r="AI30">
        <v>8.5881618979999992</v>
      </c>
      <c r="AJ30">
        <v>8.1563664130000006</v>
      </c>
      <c r="AK30">
        <v>8.6320881580000002</v>
      </c>
      <c r="AL30">
        <v>10.53775182</v>
      </c>
      <c r="AM30">
        <v>8.6391469720000007</v>
      </c>
      <c r="AN30">
        <v>11.28858434</v>
      </c>
      <c r="AO30">
        <v>9.1828240680000004</v>
      </c>
      <c r="AP30">
        <v>8.8325432399999997</v>
      </c>
      <c r="AQ30">
        <v>14.50785846</v>
      </c>
      <c r="AR30">
        <v>7.164908016</v>
      </c>
      <c r="AT30">
        <v>6.197137541</v>
      </c>
    </row>
    <row r="31" spans="1:46" x14ac:dyDescent="0.2">
      <c r="A31" s="13" t="s">
        <v>260</v>
      </c>
      <c r="B31">
        <v>1.8855015939999999</v>
      </c>
      <c r="C31">
        <v>2.2261574949999998</v>
      </c>
      <c r="D31">
        <v>2.861016862</v>
      </c>
      <c r="E31">
        <v>2.1644841440000002</v>
      </c>
      <c r="F31">
        <v>2.2506584599999999</v>
      </c>
      <c r="G31">
        <v>2.9970639399999999</v>
      </c>
      <c r="H31">
        <v>2.9366106950000002</v>
      </c>
      <c r="I31">
        <v>3.105742228</v>
      </c>
      <c r="J31">
        <v>2.5734579869999998</v>
      </c>
      <c r="K31">
        <v>3.0146169399999998</v>
      </c>
      <c r="L31">
        <v>2.2950058360000001</v>
      </c>
      <c r="M31">
        <v>2.7601640449999998</v>
      </c>
      <c r="N31">
        <v>2.28739143</v>
      </c>
      <c r="O31">
        <v>2.5712964829999998</v>
      </c>
      <c r="P31">
        <v>1.8128346710000001</v>
      </c>
      <c r="Q31">
        <v>2.070020805</v>
      </c>
      <c r="R31">
        <v>4.0668492360000004</v>
      </c>
      <c r="S31">
        <v>1.8842263960000001</v>
      </c>
      <c r="T31">
        <v>1.790810687</v>
      </c>
      <c r="U31">
        <v>2.835192734</v>
      </c>
      <c r="V31">
        <v>1.8335449189999999</v>
      </c>
      <c r="W31">
        <v>1.872855639</v>
      </c>
      <c r="X31">
        <v>2.9812182009999999</v>
      </c>
      <c r="Y31">
        <v>1.8263991610000001</v>
      </c>
      <c r="Z31">
        <v>2.1493665609999999</v>
      </c>
      <c r="AA31">
        <v>1.540496141</v>
      </c>
      <c r="AB31">
        <v>2.059610787</v>
      </c>
      <c r="AC31">
        <v>1.305082182</v>
      </c>
      <c r="AD31">
        <v>1.8083749419999999</v>
      </c>
      <c r="AE31">
        <v>2.8084645319999999</v>
      </c>
      <c r="AF31">
        <v>2.142398434</v>
      </c>
      <c r="AG31">
        <v>2.4748734130000001</v>
      </c>
      <c r="AH31">
        <v>1.400819456</v>
      </c>
      <c r="AI31">
        <v>1.367557482</v>
      </c>
      <c r="AJ31">
        <v>1.5797852379999999</v>
      </c>
      <c r="AK31">
        <v>1.49621833</v>
      </c>
      <c r="AL31">
        <v>1.4661256030000001</v>
      </c>
      <c r="AM31">
        <v>1.6427465919999999</v>
      </c>
      <c r="AN31">
        <v>2.1259766309999999</v>
      </c>
      <c r="AO31">
        <v>1.9354458430000001</v>
      </c>
      <c r="AP31">
        <v>1.713210578</v>
      </c>
      <c r="AQ31">
        <v>2.4904842139999999</v>
      </c>
      <c r="AR31">
        <v>1.4221346509999999</v>
      </c>
      <c r="AT31">
        <v>2.0191908189999999</v>
      </c>
    </row>
    <row r="32" spans="1:46" x14ac:dyDescent="0.2">
      <c r="A32" s="13" t="s">
        <v>261</v>
      </c>
      <c r="B32">
        <v>3.7310531939999998</v>
      </c>
      <c r="C32">
        <v>3.661095408</v>
      </c>
      <c r="D32">
        <v>5.1936164299999996</v>
      </c>
      <c r="E32">
        <v>2.7811856170000002</v>
      </c>
      <c r="F32">
        <v>4.4283197579999998</v>
      </c>
      <c r="G32">
        <v>2.8963935680000001</v>
      </c>
      <c r="H32">
        <v>3.8016490799999998</v>
      </c>
      <c r="I32">
        <v>5.2075915750000004</v>
      </c>
      <c r="J32">
        <v>5.0196963009999997</v>
      </c>
      <c r="K32">
        <v>5.1459298489999998</v>
      </c>
      <c r="L32">
        <v>3.9688855840000001</v>
      </c>
      <c r="M32">
        <v>4.7489653010000001</v>
      </c>
      <c r="N32">
        <v>4.1947749429999996</v>
      </c>
      <c r="O32">
        <v>4.2154687170000003</v>
      </c>
      <c r="P32">
        <v>4.0870039629999999</v>
      </c>
      <c r="Q32">
        <v>4.1771668760000003</v>
      </c>
      <c r="R32">
        <v>7.9412095349999996</v>
      </c>
      <c r="S32">
        <v>3.1953214669999999</v>
      </c>
      <c r="T32">
        <v>4.0204544029999996</v>
      </c>
      <c r="U32">
        <v>5.9623373900000001</v>
      </c>
      <c r="V32">
        <v>4.2118373680000003</v>
      </c>
      <c r="W32">
        <v>3.7802741119999999</v>
      </c>
      <c r="X32">
        <v>6.1488086659999999</v>
      </c>
      <c r="Y32">
        <v>4.0706672609999996</v>
      </c>
      <c r="Z32">
        <v>3.9551008539999999</v>
      </c>
      <c r="AA32">
        <v>3.128456259</v>
      </c>
      <c r="AB32">
        <v>3.7039095340000001</v>
      </c>
      <c r="AC32">
        <v>3.3142490640000002</v>
      </c>
      <c r="AD32">
        <v>4.9046302449999999</v>
      </c>
      <c r="AE32">
        <v>6.4725727720000004</v>
      </c>
      <c r="AF32">
        <v>5.7968124080000001</v>
      </c>
      <c r="AG32">
        <v>4.9856275229999998</v>
      </c>
      <c r="AH32">
        <v>3.6101852729999999</v>
      </c>
      <c r="AI32">
        <v>2.467555494</v>
      </c>
      <c r="AJ32">
        <v>4.5837291950000001</v>
      </c>
      <c r="AK32">
        <v>3.0552264390000001</v>
      </c>
      <c r="AL32">
        <v>2.7312391950000001</v>
      </c>
      <c r="AM32">
        <v>4.875793206</v>
      </c>
      <c r="AN32">
        <v>4.467732764</v>
      </c>
      <c r="AO32">
        <v>4.3627387180000001</v>
      </c>
      <c r="AP32">
        <v>4.2123350869999996</v>
      </c>
      <c r="AQ32">
        <v>4.3196037729999999</v>
      </c>
      <c r="AR32">
        <v>3.6267335589999998</v>
      </c>
      <c r="AT32">
        <v>7.7500234189999997</v>
      </c>
    </row>
    <row r="33" spans="1:46" x14ac:dyDescent="0.2">
      <c r="A33" s="13" t="s">
        <v>262</v>
      </c>
      <c r="B33">
        <v>0.13047840299999999</v>
      </c>
      <c r="C33">
        <v>0.154075668</v>
      </c>
      <c r="D33">
        <v>0.26017753799999999</v>
      </c>
      <c r="E33">
        <v>0.10304253400000001</v>
      </c>
      <c r="F33">
        <v>0.19099796599999999</v>
      </c>
      <c r="G33">
        <v>0.14737366900000001</v>
      </c>
      <c r="H33">
        <v>0.200225077</v>
      </c>
      <c r="I33">
        <v>0.26995272599999998</v>
      </c>
      <c r="J33">
        <v>0.188833004</v>
      </c>
      <c r="K33">
        <v>0.23643576099999999</v>
      </c>
      <c r="L33">
        <v>0.13916782</v>
      </c>
      <c r="M33">
        <v>0.25209170800000003</v>
      </c>
      <c r="N33">
        <v>0.211841635</v>
      </c>
      <c r="O33">
        <v>0.210748293</v>
      </c>
      <c r="P33">
        <v>0.17342832399999999</v>
      </c>
      <c r="Q33">
        <v>0.138178199</v>
      </c>
      <c r="R33">
        <v>0.35222972400000002</v>
      </c>
      <c r="S33">
        <v>0.121436313</v>
      </c>
      <c r="T33">
        <v>0.14403972600000001</v>
      </c>
      <c r="U33">
        <v>0.23214135799999999</v>
      </c>
      <c r="V33">
        <v>0.18722148</v>
      </c>
      <c r="W33">
        <v>0.150045189</v>
      </c>
      <c r="X33">
        <v>0.34474243599999999</v>
      </c>
      <c r="Y33">
        <v>0.20026443199999999</v>
      </c>
      <c r="Z33">
        <v>0.17589226199999999</v>
      </c>
      <c r="AA33">
        <v>0.151231636</v>
      </c>
      <c r="AB33">
        <v>0.164901193</v>
      </c>
      <c r="AC33">
        <v>0.16273895999999999</v>
      </c>
      <c r="AD33">
        <v>0.22993107700000001</v>
      </c>
      <c r="AE33">
        <v>0.30852365700000001</v>
      </c>
      <c r="AF33">
        <v>0.255990035</v>
      </c>
      <c r="AG33">
        <v>0.216449578</v>
      </c>
      <c r="AH33">
        <v>0.17649066299999999</v>
      </c>
      <c r="AI33">
        <v>0.11822194799999999</v>
      </c>
      <c r="AJ33">
        <v>0.197279335</v>
      </c>
      <c r="AK33">
        <v>0.145421785</v>
      </c>
      <c r="AL33">
        <v>0.15969422999999999</v>
      </c>
      <c r="AM33">
        <v>0.22226886200000001</v>
      </c>
      <c r="AN33">
        <v>0.23347923800000001</v>
      </c>
      <c r="AO33">
        <v>0.21636016399999999</v>
      </c>
      <c r="AP33">
        <v>0.20638290100000001</v>
      </c>
      <c r="AQ33">
        <v>0.23883486100000001</v>
      </c>
      <c r="AR33">
        <v>0.172743696</v>
      </c>
      <c r="AT33">
        <v>0.28292865699999997</v>
      </c>
    </row>
    <row r="34" spans="1:46" x14ac:dyDescent="0.2">
      <c r="A34" s="13" t="s">
        <v>263</v>
      </c>
      <c r="B34">
        <v>3.4394590000000003E-2</v>
      </c>
      <c r="C34">
        <v>4.6121681999999997E-2</v>
      </c>
      <c r="D34">
        <v>6.0091472E-2</v>
      </c>
      <c r="E34">
        <v>5.0046933000000002E-2</v>
      </c>
      <c r="F34">
        <v>2.8730820000000001E-2</v>
      </c>
      <c r="G34">
        <v>6.4294199999999996E-2</v>
      </c>
      <c r="H34">
        <v>6.2526881000000006E-2</v>
      </c>
      <c r="I34">
        <v>5.8086257000000002E-2</v>
      </c>
      <c r="J34">
        <v>6.2208443000000002E-2</v>
      </c>
      <c r="K34">
        <v>3.9916926999999998E-2</v>
      </c>
      <c r="L34">
        <v>0.126518662</v>
      </c>
      <c r="M34">
        <v>3.2779179999999998E-2</v>
      </c>
      <c r="N34">
        <v>5.5008107000000001E-2</v>
      </c>
      <c r="O34">
        <v>6.2966799000000004E-2</v>
      </c>
      <c r="P34">
        <v>4.2991535999999997E-2</v>
      </c>
      <c r="Q34">
        <v>3.0478927999999999E-2</v>
      </c>
      <c r="R34">
        <v>7.2865536999999994E-2</v>
      </c>
      <c r="S34">
        <v>5.3493802999999999E-2</v>
      </c>
      <c r="T34">
        <v>2.958949E-2</v>
      </c>
      <c r="U34">
        <v>4.0902823999999997E-2</v>
      </c>
      <c r="V34">
        <v>2.6933400999999999E-2</v>
      </c>
      <c r="W34">
        <v>3.0590437000000002E-2</v>
      </c>
      <c r="X34">
        <v>6.1589945E-2</v>
      </c>
      <c r="Y34">
        <v>4.6116087E-2</v>
      </c>
      <c r="Z34">
        <v>6.3741805999999998E-2</v>
      </c>
      <c r="AA34">
        <v>3.8286773000000003E-2</v>
      </c>
      <c r="AB34">
        <v>4.3909491000000002E-2</v>
      </c>
      <c r="AC34">
        <v>2.1657428999999999E-2</v>
      </c>
      <c r="AD34">
        <v>2.4309504999999999E-2</v>
      </c>
      <c r="AE34">
        <v>3.8926396000000002E-2</v>
      </c>
      <c r="AF34">
        <v>2.7999399000000001E-2</v>
      </c>
      <c r="AG34">
        <v>4.319216E-2</v>
      </c>
      <c r="AH34">
        <v>2.8805258E-2</v>
      </c>
      <c r="AI34">
        <v>3.9420572000000001E-2</v>
      </c>
      <c r="AJ34">
        <v>2.9207584000000002E-2</v>
      </c>
      <c r="AK34">
        <v>3.5806103999999998E-2</v>
      </c>
      <c r="AL34">
        <v>3.5262413999999999E-2</v>
      </c>
      <c r="AM34">
        <v>3.3461216000000002E-2</v>
      </c>
      <c r="AN34">
        <v>3.5694668999999998E-2</v>
      </c>
      <c r="AO34">
        <v>2.9138964E-2</v>
      </c>
      <c r="AP34">
        <v>2.8395202000000001E-2</v>
      </c>
      <c r="AQ34">
        <v>4.1974847000000003E-2</v>
      </c>
      <c r="AR34">
        <v>1.9128869E-2</v>
      </c>
      <c r="AT34">
        <v>3.8240204999999999E-2</v>
      </c>
    </row>
    <row r="35" spans="1:46" x14ac:dyDescent="0.2">
      <c r="A35" s="13" t="s">
        <v>264</v>
      </c>
      <c r="B35">
        <v>5.4072905999999997E-2</v>
      </c>
      <c r="C35">
        <v>7.5161606000000006E-2</v>
      </c>
      <c r="D35">
        <v>0.104761012</v>
      </c>
      <c r="E35">
        <v>9.4049804000000001E-2</v>
      </c>
      <c r="F35">
        <v>5.4471111000000003E-2</v>
      </c>
      <c r="G35">
        <v>0.13810301699999999</v>
      </c>
      <c r="H35">
        <v>0.124135626</v>
      </c>
      <c r="I35">
        <v>0.12007904</v>
      </c>
      <c r="J35">
        <v>7.4900174999999999E-2</v>
      </c>
      <c r="K35">
        <v>8.1789811000000004E-2</v>
      </c>
      <c r="L35">
        <v>0.12996596999999999</v>
      </c>
      <c r="M35">
        <v>6.4701648E-2</v>
      </c>
      <c r="N35">
        <v>7.8457680000000002E-2</v>
      </c>
      <c r="O35">
        <v>0.101464791</v>
      </c>
      <c r="P35">
        <v>6.5646509000000006E-2</v>
      </c>
      <c r="Q35">
        <v>6.5097590999999996E-2</v>
      </c>
      <c r="R35">
        <v>0.13834876900000001</v>
      </c>
      <c r="S35">
        <v>9.6470004999999998E-2</v>
      </c>
      <c r="T35">
        <v>5.2546656999999997E-2</v>
      </c>
      <c r="U35">
        <v>0.103039386</v>
      </c>
      <c r="V35">
        <v>6.4644629999999995E-2</v>
      </c>
      <c r="W35">
        <v>6.7062914000000001E-2</v>
      </c>
      <c r="X35">
        <v>9.0853255999999993E-2</v>
      </c>
      <c r="Y35">
        <v>5.3740046E-2</v>
      </c>
      <c r="Z35">
        <v>9.2240401999999999E-2</v>
      </c>
      <c r="AA35">
        <v>4.7008021999999997E-2</v>
      </c>
      <c r="AB35">
        <v>9.0332392999999997E-2</v>
      </c>
      <c r="AC35">
        <v>3.6068272999999998E-2</v>
      </c>
      <c r="AD35">
        <v>4.5339611000000002E-2</v>
      </c>
      <c r="AE35">
        <v>6.2779984999999996E-2</v>
      </c>
      <c r="AF35">
        <v>5.2282931999999997E-2</v>
      </c>
      <c r="AG35">
        <v>7.2821759999999999E-2</v>
      </c>
      <c r="AH35">
        <v>4.8204674000000003E-2</v>
      </c>
      <c r="AI35">
        <v>6.7420942999999997E-2</v>
      </c>
      <c r="AJ35">
        <v>4.0715617000000003E-2</v>
      </c>
      <c r="AK35">
        <v>6.4472960999999995E-2</v>
      </c>
      <c r="AL35">
        <v>5.3597786000000001E-2</v>
      </c>
      <c r="AM35">
        <v>4.7763545999999997E-2</v>
      </c>
      <c r="AN35">
        <v>6.1047757000000001E-2</v>
      </c>
      <c r="AO35">
        <v>5.108219E-2</v>
      </c>
      <c r="AP35">
        <v>4.8576772999999997E-2</v>
      </c>
      <c r="AQ35">
        <v>9.3706640999999993E-2</v>
      </c>
      <c r="AR35">
        <v>3.6511594000000001E-2</v>
      </c>
      <c r="AT35">
        <v>8.0971370000000001E-2</v>
      </c>
    </row>
    <row r="36" spans="1:46" x14ac:dyDescent="0.2">
      <c r="A36" s="13" t="s">
        <v>265</v>
      </c>
      <c r="B36">
        <v>3.4106968000000001E-2</v>
      </c>
      <c r="C36">
        <v>4.0974653999999999E-2</v>
      </c>
      <c r="D36">
        <v>5.0442189999999998E-2</v>
      </c>
      <c r="E36">
        <v>4.2780791999999998E-2</v>
      </c>
      <c r="F36">
        <v>3.5677544999999998E-2</v>
      </c>
      <c r="G36">
        <v>7.1710722000000005E-2</v>
      </c>
      <c r="H36">
        <v>6.120316E-2</v>
      </c>
      <c r="I36">
        <v>5.4229757000000003E-2</v>
      </c>
      <c r="J36">
        <v>4.0906778999999997E-2</v>
      </c>
      <c r="K36">
        <v>5.1338402999999998E-2</v>
      </c>
      <c r="L36">
        <v>4.2596413999999999E-2</v>
      </c>
      <c r="M36">
        <v>4.0927867999999999E-2</v>
      </c>
      <c r="N36">
        <v>3.9439129000000003E-2</v>
      </c>
      <c r="O36">
        <v>5.4209566000000001E-2</v>
      </c>
      <c r="P36">
        <v>3.3955014999999998E-2</v>
      </c>
      <c r="Q36">
        <v>3.7572591000000002E-2</v>
      </c>
      <c r="R36">
        <v>7.6394926000000002E-2</v>
      </c>
      <c r="S36">
        <v>3.7631419999999999E-2</v>
      </c>
      <c r="T36">
        <v>3.4193057999999998E-2</v>
      </c>
      <c r="U36">
        <v>4.9001858000000002E-2</v>
      </c>
      <c r="V36">
        <v>2.926022E-2</v>
      </c>
      <c r="W36">
        <v>3.3856819000000003E-2</v>
      </c>
      <c r="X36">
        <v>5.0908759999999997E-2</v>
      </c>
      <c r="Y36">
        <v>3.4520576999999997E-2</v>
      </c>
      <c r="Z36">
        <v>4.2539355000000001E-2</v>
      </c>
      <c r="AA36">
        <v>2.7719355000000001E-2</v>
      </c>
      <c r="AB36">
        <v>4.399542E-2</v>
      </c>
      <c r="AC36">
        <v>2.2367728E-2</v>
      </c>
      <c r="AD36">
        <v>2.6610604E-2</v>
      </c>
      <c r="AE36">
        <v>5.3047698999999997E-2</v>
      </c>
      <c r="AF36">
        <v>3.0031545999999999E-2</v>
      </c>
      <c r="AG36">
        <v>4.5522940999999997E-2</v>
      </c>
      <c r="AH36">
        <v>2.6020371E-2</v>
      </c>
      <c r="AI36">
        <v>3.3304501E-2</v>
      </c>
      <c r="AJ36">
        <v>2.8236071000000001E-2</v>
      </c>
      <c r="AK36">
        <v>2.8198818E-2</v>
      </c>
      <c r="AL36">
        <v>2.8035695999999999E-2</v>
      </c>
      <c r="AM36">
        <v>2.6278392000000001E-2</v>
      </c>
      <c r="AN36">
        <v>4.1155817999999997E-2</v>
      </c>
      <c r="AO36">
        <v>3.1994152999999997E-2</v>
      </c>
      <c r="AP36">
        <v>3.2748580999999999E-2</v>
      </c>
      <c r="AQ36">
        <v>4.6358248999999997E-2</v>
      </c>
      <c r="AR36">
        <v>2.5509429E-2</v>
      </c>
      <c r="AT36">
        <v>2.8688878000000001E-2</v>
      </c>
    </row>
    <row r="37" spans="1:46" x14ac:dyDescent="0.2">
      <c r="A37" s="13" t="s">
        <v>266</v>
      </c>
      <c r="B37">
        <v>0.35267646800000002</v>
      </c>
      <c r="C37">
        <v>0.23730470100000001</v>
      </c>
      <c r="D37">
        <v>0.17975397700000001</v>
      </c>
      <c r="E37">
        <v>0.25443154200000001</v>
      </c>
      <c r="F37">
        <v>0.18041258399999999</v>
      </c>
      <c r="G37">
        <v>0.159018202</v>
      </c>
      <c r="H37">
        <v>0.26117418999999997</v>
      </c>
      <c r="I37">
        <v>0.15194291700000001</v>
      </c>
      <c r="J37">
        <v>0.24602138600000001</v>
      </c>
      <c r="K37">
        <v>0.18405344800000001</v>
      </c>
      <c r="L37">
        <v>0.24262645499999999</v>
      </c>
      <c r="M37">
        <v>0.167223596</v>
      </c>
      <c r="N37">
        <v>0.15618838800000001</v>
      </c>
      <c r="O37">
        <v>0.22276834200000001</v>
      </c>
      <c r="P37">
        <v>0.15222894300000001</v>
      </c>
      <c r="Q37">
        <v>0.40928581600000002</v>
      </c>
      <c r="R37">
        <v>0.341115418</v>
      </c>
      <c r="S37">
        <v>0.26702111899999997</v>
      </c>
      <c r="T37">
        <v>0.27359186400000002</v>
      </c>
      <c r="U37">
        <v>0.36566752600000002</v>
      </c>
      <c r="V37">
        <v>0.12702945199999999</v>
      </c>
      <c r="W37">
        <v>0.28946825599999998</v>
      </c>
      <c r="X37">
        <v>0.228184578</v>
      </c>
      <c r="Y37">
        <v>0.20246296899999999</v>
      </c>
      <c r="Z37">
        <v>0.35255831599999998</v>
      </c>
      <c r="AA37">
        <v>0.134251799</v>
      </c>
      <c r="AB37">
        <v>0.21057436800000001</v>
      </c>
      <c r="AC37">
        <v>0.11882867599999999</v>
      </c>
      <c r="AD37">
        <v>8.9261462E-2</v>
      </c>
      <c r="AE37">
        <v>0.197860492</v>
      </c>
      <c r="AF37">
        <v>0.109062041</v>
      </c>
      <c r="AG37">
        <v>0.25173445300000002</v>
      </c>
      <c r="AH37">
        <v>7.6858258999999998E-2</v>
      </c>
      <c r="AI37">
        <v>0.13075732600000001</v>
      </c>
      <c r="AJ37">
        <v>0.13035645700000001</v>
      </c>
      <c r="AK37">
        <v>9.4873541000000006E-2</v>
      </c>
      <c r="AL37">
        <v>0.11676048</v>
      </c>
      <c r="AM37">
        <v>0.12436391099999999</v>
      </c>
      <c r="AN37">
        <v>0.14279077500000001</v>
      </c>
      <c r="AO37">
        <v>0.13145659500000001</v>
      </c>
      <c r="AP37">
        <v>0.116947935</v>
      </c>
      <c r="AQ37">
        <v>0.18471694899999999</v>
      </c>
      <c r="AR37">
        <v>9.8256235999999997E-2</v>
      </c>
      <c r="AT37">
        <v>0.27606272300000001</v>
      </c>
    </row>
    <row r="38" spans="1:46" x14ac:dyDescent="0.2">
      <c r="A38" s="13" t="s">
        <v>267</v>
      </c>
      <c r="B38">
        <v>6.8223380259999997</v>
      </c>
      <c r="C38">
        <v>5.5525999989999999</v>
      </c>
      <c r="D38">
        <v>5.7016832449999999</v>
      </c>
      <c r="E38">
        <v>5.4781060999999998</v>
      </c>
      <c r="F38">
        <v>6.1108800849999998</v>
      </c>
      <c r="G38">
        <v>4.9395583179999996</v>
      </c>
      <c r="H38">
        <v>6.5248754829999998</v>
      </c>
      <c r="I38">
        <v>5.2692364539999996</v>
      </c>
      <c r="J38">
        <v>7.0244476010000003</v>
      </c>
      <c r="K38">
        <v>6.8683838069999998</v>
      </c>
      <c r="L38">
        <v>6.1721240829999999</v>
      </c>
      <c r="M38">
        <v>5.8148687270000003</v>
      </c>
      <c r="N38">
        <v>4.4204861190000004</v>
      </c>
      <c r="O38">
        <v>5.9614440740000001</v>
      </c>
      <c r="P38">
        <v>5.0156931619999998</v>
      </c>
      <c r="Q38">
        <v>8.0727100440000008</v>
      </c>
      <c r="R38">
        <v>10.14465592</v>
      </c>
      <c r="S38">
        <v>5.2605925850000004</v>
      </c>
      <c r="T38">
        <v>5.7224738679999998</v>
      </c>
      <c r="U38">
        <v>9.5579791380000003</v>
      </c>
      <c r="V38">
        <v>4.5922984140000001</v>
      </c>
      <c r="W38">
        <v>5.7962530169999997</v>
      </c>
      <c r="X38">
        <v>7.1642819769999999</v>
      </c>
      <c r="Y38">
        <v>4.3494863329999998</v>
      </c>
      <c r="Z38">
        <v>6.3893765489999996</v>
      </c>
      <c r="AA38">
        <v>4.1793488339999998</v>
      </c>
      <c r="AB38">
        <v>5.2651110729999999</v>
      </c>
      <c r="AC38">
        <v>4.3017795769999996</v>
      </c>
      <c r="AD38">
        <v>3.6297416010000001</v>
      </c>
      <c r="AE38">
        <v>7.8888390829999997</v>
      </c>
      <c r="AF38">
        <v>4.3472655729999996</v>
      </c>
      <c r="AG38">
        <v>7.4795268960000003</v>
      </c>
      <c r="AH38">
        <v>2.8500626709999999</v>
      </c>
      <c r="AI38">
        <v>4.0851891990000002</v>
      </c>
      <c r="AJ38">
        <v>4.3183452969999996</v>
      </c>
      <c r="AK38">
        <v>2.5841767560000002</v>
      </c>
      <c r="AL38">
        <v>3.2915897429999998</v>
      </c>
      <c r="AM38">
        <v>4.1064361659999999</v>
      </c>
      <c r="AN38">
        <v>5.7441075489999998</v>
      </c>
      <c r="AO38">
        <v>4.8763002780000004</v>
      </c>
      <c r="AP38">
        <v>4.2381067039999998</v>
      </c>
      <c r="AQ38">
        <v>5.2836951460000003</v>
      </c>
      <c r="AR38">
        <v>4.0998138549999998</v>
      </c>
      <c r="AT38">
        <v>3.1100643429999999</v>
      </c>
    </row>
    <row r="39" spans="1:46" x14ac:dyDescent="0.2">
      <c r="A39" s="13" t="s">
        <v>268</v>
      </c>
      <c r="B39">
        <v>3.5459017000000002E-2</v>
      </c>
      <c r="C39">
        <v>3.8654273000000003E-2</v>
      </c>
      <c r="D39">
        <v>4.6008338000000003E-2</v>
      </c>
      <c r="E39">
        <v>3.6300559000000003E-2</v>
      </c>
      <c r="F39">
        <v>4.4379438E-2</v>
      </c>
      <c r="G39">
        <v>3.7736009000000001E-2</v>
      </c>
      <c r="H39">
        <v>5.1569412000000002E-2</v>
      </c>
      <c r="I39">
        <v>6.7763888999999994E-2</v>
      </c>
      <c r="J39">
        <v>4.2953677000000003E-2</v>
      </c>
      <c r="K39">
        <v>4.6808930999999998E-2</v>
      </c>
      <c r="L39">
        <v>3.1158739000000001E-2</v>
      </c>
      <c r="M39">
        <v>4.1268965999999997E-2</v>
      </c>
      <c r="N39">
        <v>4.087404E-2</v>
      </c>
      <c r="O39">
        <v>4.9375592000000003E-2</v>
      </c>
      <c r="P39">
        <v>3.5193255999999999E-2</v>
      </c>
      <c r="Q39">
        <v>3.8766337999999997E-2</v>
      </c>
      <c r="R39">
        <v>8.4283762999999998E-2</v>
      </c>
      <c r="S39">
        <v>3.3410382000000002E-2</v>
      </c>
      <c r="T39">
        <v>4.9871354E-2</v>
      </c>
      <c r="U39">
        <v>7.1701337000000004E-2</v>
      </c>
      <c r="V39">
        <v>4.0226054999999997E-2</v>
      </c>
      <c r="W39">
        <v>4.1235951E-2</v>
      </c>
      <c r="X39">
        <v>5.3036909E-2</v>
      </c>
      <c r="Y39">
        <v>4.5498064999999997E-2</v>
      </c>
      <c r="Z39">
        <v>4.5486350000000002E-2</v>
      </c>
      <c r="AA39">
        <v>3.6053937000000001E-2</v>
      </c>
      <c r="AB39">
        <v>3.5636719999999997E-2</v>
      </c>
      <c r="AC39">
        <v>3.8972650999999997E-2</v>
      </c>
      <c r="AD39">
        <v>2.8072531000000001E-2</v>
      </c>
      <c r="AE39">
        <v>8.5959822000000005E-2</v>
      </c>
      <c r="AF39">
        <v>2.8324875999999999E-2</v>
      </c>
      <c r="AG39">
        <v>4.8750487000000002E-2</v>
      </c>
      <c r="AH39">
        <v>2.9757427999999999E-2</v>
      </c>
      <c r="AI39">
        <v>2.9248109000000001E-2</v>
      </c>
      <c r="AJ39">
        <v>3.1099139000000001E-2</v>
      </c>
      <c r="AK39">
        <v>2.5135687E-2</v>
      </c>
      <c r="AL39">
        <v>2.9371804000000001E-2</v>
      </c>
      <c r="AM39">
        <v>2.6988936000000002E-2</v>
      </c>
      <c r="AN39">
        <v>5.7268263999999999E-2</v>
      </c>
      <c r="AO39">
        <v>5.3779411999999999E-2</v>
      </c>
      <c r="AP39">
        <v>3.4813546000000001E-2</v>
      </c>
      <c r="AQ39">
        <v>5.5575504999999997E-2</v>
      </c>
      <c r="AR39">
        <v>3.7355380000000001E-2</v>
      </c>
      <c r="AT39">
        <v>0.171009153</v>
      </c>
    </row>
    <row r="40" spans="1:46" x14ac:dyDescent="0.2">
      <c r="A40" s="13" t="s">
        <v>269</v>
      </c>
      <c r="B40">
        <v>2.606714E-3</v>
      </c>
      <c r="C40">
        <v>4.9688980000000002E-3</v>
      </c>
      <c r="D40">
        <v>3.3800990000000001E-3</v>
      </c>
      <c r="E40">
        <v>2.184868E-3</v>
      </c>
      <c r="F40">
        <v>2.8600320000000002E-3</v>
      </c>
      <c r="G40">
        <v>4.8835329999999998E-3</v>
      </c>
      <c r="H40">
        <v>4.0981869999999997E-3</v>
      </c>
      <c r="I40">
        <v>3.9906589999999997E-3</v>
      </c>
      <c r="J40">
        <v>5.3680100000000003E-3</v>
      </c>
      <c r="K40">
        <v>3.602039E-3</v>
      </c>
      <c r="L40">
        <v>6.1362079999999998E-3</v>
      </c>
      <c r="M40">
        <v>5.1363110000000002E-3</v>
      </c>
      <c r="N40">
        <v>4.7862099999999999E-3</v>
      </c>
      <c r="O40">
        <v>3.0588910000000002E-3</v>
      </c>
      <c r="P40">
        <v>5.1966590000000002E-3</v>
      </c>
      <c r="Q40">
        <v>4.6955809999999999E-3</v>
      </c>
      <c r="R40">
        <v>8.8561509999999996E-3</v>
      </c>
      <c r="S40">
        <v>4.9988599999999999E-3</v>
      </c>
      <c r="T40">
        <v>3.9968369999999996E-3</v>
      </c>
      <c r="U40">
        <v>3.6778370000000002E-3</v>
      </c>
      <c r="V40">
        <v>3.1979809999999999E-3</v>
      </c>
      <c r="W40">
        <v>3.442886E-3</v>
      </c>
      <c r="X40">
        <v>5.9623560000000003E-3</v>
      </c>
      <c r="Y40">
        <v>3.1584970000000001E-3</v>
      </c>
      <c r="Z40">
        <v>4.9830009999999999E-3</v>
      </c>
      <c r="AA40">
        <v>3.2363829999999998E-3</v>
      </c>
      <c r="AB40">
        <v>4.1095330000000003E-3</v>
      </c>
      <c r="AC40">
        <v>3.2413390000000002E-3</v>
      </c>
      <c r="AD40">
        <v>5.9625420000000004E-3</v>
      </c>
      <c r="AE40">
        <v>6.9272759999999996E-3</v>
      </c>
      <c r="AF40">
        <v>3.9933570000000003E-3</v>
      </c>
      <c r="AG40">
        <v>3.3103550000000001E-3</v>
      </c>
      <c r="AH40">
        <v>5.3485850000000003E-3</v>
      </c>
      <c r="AI40">
        <v>3.5244870000000002E-3</v>
      </c>
      <c r="AJ40">
        <v>4.1455509999999999E-3</v>
      </c>
      <c r="AK40">
        <v>6.6162740000000001E-3</v>
      </c>
      <c r="AL40">
        <v>5.3376609999999996E-3</v>
      </c>
      <c r="AM40">
        <v>4.7955840000000003E-3</v>
      </c>
      <c r="AN40">
        <v>3.300402E-3</v>
      </c>
      <c r="AO40">
        <v>6.1182629999999997E-3</v>
      </c>
      <c r="AP40">
        <v>4.1145210000000003E-3</v>
      </c>
      <c r="AQ40">
        <v>3.314642E-3</v>
      </c>
      <c r="AR40">
        <v>4.6655330000000004E-3</v>
      </c>
      <c r="AT40">
        <v>4.7407639999999997E-3</v>
      </c>
    </row>
    <row r="41" spans="1:46" x14ac:dyDescent="0.2">
      <c r="A41" s="13" t="s">
        <v>270</v>
      </c>
      <c r="B41">
        <v>6.2357321E-2</v>
      </c>
      <c r="C41">
        <v>7.1137268000000003E-2</v>
      </c>
      <c r="D41">
        <v>8.6387467999999995E-2</v>
      </c>
      <c r="E41">
        <v>7.8972811000000004E-2</v>
      </c>
      <c r="F41">
        <v>5.3144403999999999E-2</v>
      </c>
      <c r="G41">
        <v>0.115823752</v>
      </c>
      <c r="H41">
        <v>9.9406108000000007E-2</v>
      </c>
      <c r="I41">
        <v>0.11056058000000001</v>
      </c>
      <c r="J41">
        <v>7.1723042000000001E-2</v>
      </c>
      <c r="K41">
        <v>8.244253E-2</v>
      </c>
      <c r="L41">
        <v>0.10876256400000001</v>
      </c>
      <c r="M41">
        <v>6.1693236999999998E-2</v>
      </c>
      <c r="N41">
        <v>6.2608949999999997E-2</v>
      </c>
      <c r="O41">
        <v>9.3215056000000004E-2</v>
      </c>
      <c r="P41">
        <v>6.1815427999999999E-2</v>
      </c>
      <c r="Q41">
        <v>7.5206060000000005E-2</v>
      </c>
      <c r="R41">
        <v>0.12636191899999999</v>
      </c>
      <c r="S41">
        <v>8.1861336000000007E-2</v>
      </c>
      <c r="T41">
        <v>5.3198891999999998E-2</v>
      </c>
      <c r="U41">
        <v>9.1274504000000006E-2</v>
      </c>
      <c r="V41">
        <v>6.2012531000000003E-2</v>
      </c>
      <c r="W41">
        <v>6.6824739999999994E-2</v>
      </c>
      <c r="X41">
        <v>9.4811309999999996E-2</v>
      </c>
      <c r="Y41">
        <v>6.1718608000000001E-2</v>
      </c>
      <c r="Z41">
        <v>9.0429399999999993E-2</v>
      </c>
      <c r="AA41">
        <v>5.4470925000000003E-2</v>
      </c>
      <c r="AB41">
        <v>8.2921054999999994E-2</v>
      </c>
      <c r="AC41">
        <v>4.2820903E-2</v>
      </c>
      <c r="AD41">
        <v>5.0628606999999999E-2</v>
      </c>
      <c r="AE41">
        <v>7.8807046000000006E-2</v>
      </c>
      <c r="AF41">
        <v>6.2109843999999997E-2</v>
      </c>
      <c r="AG41">
        <v>7.0082990999999997E-2</v>
      </c>
      <c r="AH41">
        <v>4.5133292999999998E-2</v>
      </c>
      <c r="AI41">
        <v>6.7064683999999999E-2</v>
      </c>
      <c r="AJ41">
        <v>4.6917858999999999E-2</v>
      </c>
      <c r="AK41">
        <v>5.7663318999999998E-2</v>
      </c>
      <c r="AL41">
        <v>5.2103693E-2</v>
      </c>
      <c r="AM41">
        <v>4.5817172000000003E-2</v>
      </c>
      <c r="AN41">
        <v>6.2214027999999998E-2</v>
      </c>
      <c r="AO41">
        <v>5.1176498000000001E-2</v>
      </c>
      <c r="AP41">
        <v>5.5262868999999999E-2</v>
      </c>
      <c r="AQ41">
        <v>7.8064078999999995E-2</v>
      </c>
      <c r="AR41">
        <v>3.3037612000000001E-2</v>
      </c>
      <c r="AT41">
        <v>8.4138002000000003E-2</v>
      </c>
    </row>
    <row r="42" spans="1:46" x14ac:dyDescent="0.2">
      <c r="A42" s="13" t="s">
        <v>271</v>
      </c>
      <c r="B42">
        <v>4.7867522000000003E-2</v>
      </c>
      <c r="C42">
        <v>4.0226974999999998E-2</v>
      </c>
      <c r="D42">
        <v>3.7217872999999999E-2</v>
      </c>
      <c r="E42">
        <v>3.1629324E-2</v>
      </c>
      <c r="F42">
        <v>4.4188044000000003E-2</v>
      </c>
      <c r="G42">
        <v>4.4130001000000002E-2</v>
      </c>
      <c r="H42">
        <v>3.6215138000000001E-2</v>
      </c>
      <c r="I42">
        <v>3.3892177000000002E-2</v>
      </c>
      <c r="J42">
        <v>3.6287458000000002E-2</v>
      </c>
      <c r="K42">
        <v>3.5525911E-2</v>
      </c>
      <c r="L42">
        <v>2.9440009E-2</v>
      </c>
      <c r="M42">
        <v>3.9059758E-2</v>
      </c>
      <c r="N42">
        <v>3.3202783E-2</v>
      </c>
      <c r="O42">
        <v>3.6046244999999998E-2</v>
      </c>
      <c r="P42">
        <v>3.0679385999999999E-2</v>
      </c>
      <c r="Q42">
        <v>3.8342835999999998E-2</v>
      </c>
      <c r="R42">
        <v>5.5061732000000002E-2</v>
      </c>
      <c r="S42">
        <v>2.6409979E-2</v>
      </c>
      <c r="T42">
        <v>3.6745118E-2</v>
      </c>
      <c r="U42">
        <v>4.4499730000000001E-2</v>
      </c>
      <c r="V42">
        <v>2.4053728999999999E-2</v>
      </c>
      <c r="W42">
        <v>2.986103E-2</v>
      </c>
      <c r="X42">
        <v>4.8962591E-2</v>
      </c>
      <c r="Y42">
        <v>2.7879373999999998E-2</v>
      </c>
      <c r="Z42">
        <v>3.3072749999999998E-2</v>
      </c>
      <c r="AA42">
        <v>2.4056073000000001E-2</v>
      </c>
      <c r="AB42">
        <v>3.2156613000000001E-2</v>
      </c>
      <c r="AC42">
        <v>2.3533690999999999E-2</v>
      </c>
      <c r="AD42">
        <v>2.7657360999999998E-2</v>
      </c>
      <c r="AE42">
        <v>4.3164161999999999E-2</v>
      </c>
      <c r="AF42">
        <v>3.1199926999999999E-2</v>
      </c>
      <c r="AG42">
        <v>3.8233695999999998E-2</v>
      </c>
      <c r="AH42">
        <v>1.881379E-2</v>
      </c>
      <c r="AI42">
        <v>2.135571E-2</v>
      </c>
      <c r="AJ42">
        <v>3.0773156999999999E-2</v>
      </c>
      <c r="AK42">
        <v>2.5480673999999998E-2</v>
      </c>
      <c r="AL42">
        <v>2.0411756E-2</v>
      </c>
      <c r="AM42">
        <v>2.5570194000000001E-2</v>
      </c>
      <c r="AN42">
        <v>3.5518035000000003E-2</v>
      </c>
      <c r="AO42">
        <v>3.0400340000000001E-2</v>
      </c>
      <c r="AP42">
        <v>2.6655776999999999E-2</v>
      </c>
      <c r="AQ42">
        <v>3.2613107000000002E-2</v>
      </c>
      <c r="AR42">
        <v>2.7312313000000001E-2</v>
      </c>
      <c r="AT42">
        <v>3.1732444999999998E-2</v>
      </c>
    </row>
    <row r="43" spans="1:46" x14ac:dyDescent="0.2">
      <c r="A43" s="13" t="s">
        <v>272</v>
      </c>
      <c r="B43">
        <v>5.9842351520000001</v>
      </c>
      <c r="C43">
        <v>5.0280836459999998</v>
      </c>
      <c r="D43">
        <v>5.5295905809999999</v>
      </c>
      <c r="E43">
        <v>5.6115377889999998</v>
      </c>
      <c r="F43">
        <v>6.5297280249999998</v>
      </c>
      <c r="G43">
        <v>4.0586915020000003</v>
      </c>
      <c r="H43">
        <v>6.6312255560000004</v>
      </c>
      <c r="I43">
        <v>6.1844343840000002</v>
      </c>
      <c r="J43">
        <v>7.6855910810000001</v>
      </c>
      <c r="K43">
        <v>6.3995274929999999</v>
      </c>
      <c r="L43">
        <v>6.8950836459999998</v>
      </c>
      <c r="M43">
        <v>5.9091071350000002</v>
      </c>
      <c r="N43">
        <v>4.7219431060000003</v>
      </c>
      <c r="O43">
        <v>5.163931045</v>
      </c>
      <c r="P43">
        <v>4.5895474060000003</v>
      </c>
      <c r="Q43">
        <v>6.8450564050000002</v>
      </c>
      <c r="R43">
        <v>8.4555852579999993</v>
      </c>
      <c r="S43">
        <v>4.3995988910000001</v>
      </c>
      <c r="T43">
        <v>5.0011224509999996</v>
      </c>
      <c r="U43">
        <v>7.8849139739999998</v>
      </c>
      <c r="V43">
        <v>4.1446760510000002</v>
      </c>
      <c r="W43">
        <v>5.3290795219999998</v>
      </c>
      <c r="X43">
        <v>6.6177799009999996</v>
      </c>
      <c r="Y43">
        <v>4.3790044779999997</v>
      </c>
      <c r="Z43">
        <v>5.1786691329999996</v>
      </c>
      <c r="AA43">
        <v>3.6790884479999999</v>
      </c>
      <c r="AB43">
        <v>4.1773651300000001</v>
      </c>
      <c r="AC43">
        <v>3.6015948230000001</v>
      </c>
      <c r="AD43">
        <v>3.5485141119999999</v>
      </c>
      <c r="AE43">
        <v>6.8351368819999996</v>
      </c>
      <c r="AF43">
        <v>4.6205372049999998</v>
      </c>
      <c r="AG43">
        <v>6.4696564219999999</v>
      </c>
      <c r="AH43">
        <v>2.59838426</v>
      </c>
      <c r="AI43">
        <v>2.3492026410000002</v>
      </c>
      <c r="AJ43">
        <v>3.7483052140000002</v>
      </c>
      <c r="AK43">
        <v>3.6571359509999999</v>
      </c>
      <c r="AL43">
        <v>3.07713766</v>
      </c>
      <c r="AM43">
        <v>3.9217417000000001</v>
      </c>
      <c r="AN43">
        <v>4.6831541579999998</v>
      </c>
      <c r="AO43">
        <v>4.5995968310000004</v>
      </c>
      <c r="AP43">
        <v>4.0063220309999998</v>
      </c>
      <c r="AQ43">
        <v>5.2484197019999996</v>
      </c>
      <c r="AR43">
        <v>3.8290774910000001</v>
      </c>
      <c r="AT43">
        <v>6.2610763240000002</v>
      </c>
    </row>
    <row r="44" spans="1:46" x14ac:dyDescent="0.2">
      <c r="A44" s="13" t="s">
        <v>273</v>
      </c>
      <c r="B44">
        <v>6.3956229999999996E-3</v>
      </c>
      <c r="C44">
        <v>5.9251759999999999E-3</v>
      </c>
      <c r="D44">
        <v>5.4912820000000001E-3</v>
      </c>
      <c r="E44">
        <v>4.5787750000000002E-3</v>
      </c>
      <c r="F44">
        <v>9.360897E-3</v>
      </c>
      <c r="G44">
        <v>8.4157160000000002E-3</v>
      </c>
      <c r="H44">
        <v>6.7968849999999999E-3</v>
      </c>
      <c r="I44">
        <v>8.5770740000000005E-3</v>
      </c>
      <c r="J44">
        <v>6.8365939999999997E-3</v>
      </c>
      <c r="K44">
        <v>1.2173091E-2</v>
      </c>
      <c r="L44">
        <v>1.2013868E-2</v>
      </c>
      <c r="M44">
        <v>8.2914730000000006E-3</v>
      </c>
      <c r="N44">
        <v>9.538164E-3</v>
      </c>
      <c r="O44">
        <v>9.1048339999999992E-3</v>
      </c>
      <c r="P44">
        <v>1.0226462E-2</v>
      </c>
      <c r="Q44">
        <v>4.5658840000000001E-3</v>
      </c>
      <c r="R44">
        <v>1.4329972E-2</v>
      </c>
      <c r="S44">
        <v>7.6762499999999999E-3</v>
      </c>
      <c r="T44">
        <v>7.93869E-3</v>
      </c>
      <c r="U44">
        <v>1.4198789E-2</v>
      </c>
      <c r="V44">
        <v>9.871299E-3</v>
      </c>
      <c r="W44">
        <v>1.0081979E-2</v>
      </c>
      <c r="X44">
        <v>1.1171518E-2</v>
      </c>
      <c r="Y44">
        <v>1.1615772999999999E-2</v>
      </c>
      <c r="Z44">
        <v>6.873578E-3</v>
      </c>
      <c r="AA44">
        <v>1.2862836000000001E-2</v>
      </c>
      <c r="AB44">
        <v>8.3844790000000002E-3</v>
      </c>
      <c r="AC44">
        <v>8.8931010000000005E-3</v>
      </c>
      <c r="AD44">
        <v>1.1728541E-2</v>
      </c>
      <c r="AE44">
        <v>1.0186038E-2</v>
      </c>
      <c r="AF44">
        <v>1.1124649E-2</v>
      </c>
      <c r="AG44">
        <v>7.3599360000000001E-3</v>
      </c>
      <c r="AH44">
        <v>1.2711052E-2</v>
      </c>
      <c r="AI44">
        <v>5.1980810000000002E-3</v>
      </c>
      <c r="AJ44">
        <v>1.1529479E-2</v>
      </c>
      <c r="AK44">
        <v>2.2580149000000001E-2</v>
      </c>
      <c r="AL44">
        <v>9.2940750000000006E-3</v>
      </c>
      <c r="AM44">
        <v>1.0320472000000001E-2</v>
      </c>
      <c r="AN44">
        <v>8.3066570000000003E-3</v>
      </c>
      <c r="AO44">
        <v>1.2535955E-2</v>
      </c>
      <c r="AP44">
        <v>9.092012E-3</v>
      </c>
      <c r="AQ44">
        <v>1.145039E-2</v>
      </c>
      <c r="AR44">
        <v>9.5067789999999999E-3</v>
      </c>
      <c r="AT44">
        <v>1.0511968999999999E-2</v>
      </c>
    </row>
    <row r="45" spans="1:46" x14ac:dyDescent="0.2">
      <c r="A45" s="13" t="s">
        <v>274</v>
      </c>
      <c r="B45">
        <v>3.6559679999999997E-2</v>
      </c>
      <c r="C45">
        <v>4.4286471000000001E-2</v>
      </c>
      <c r="D45">
        <v>3.6756282000000001E-2</v>
      </c>
      <c r="E45">
        <v>3.5233250000000001E-2</v>
      </c>
      <c r="F45">
        <v>4.2376327999999998E-2</v>
      </c>
      <c r="G45">
        <v>2.8488692999999999E-2</v>
      </c>
      <c r="H45">
        <v>3.0365360000000001E-2</v>
      </c>
      <c r="I45">
        <v>3.6807290999999999E-2</v>
      </c>
      <c r="J45">
        <v>3.8999059000000003E-2</v>
      </c>
      <c r="K45">
        <v>4.0974022999999998E-2</v>
      </c>
      <c r="L45">
        <v>5.1005383000000001E-2</v>
      </c>
      <c r="M45">
        <v>5.1910449999999997E-2</v>
      </c>
      <c r="N45">
        <v>3.7225862999999998E-2</v>
      </c>
      <c r="O45">
        <v>3.9913888000000002E-2</v>
      </c>
      <c r="P45">
        <v>5.2078553999999999E-2</v>
      </c>
      <c r="Q45">
        <v>4.5963229000000001E-2</v>
      </c>
      <c r="R45">
        <v>6.7087797000000005E-2</v>
      </c>
      <c r="S45">
        <v>2.8993390000000001E-2</v>
      </c>
      <c r="T45">
        <v>3.4744802999999998E-2</v>
      </c>
      <c r="U45">
        <v>4.8012709000000001E-2</v>
      </c>
      <c r="V45">
        <v>5.0529211999999997E-2</v>
      </c>
      <c r="W45">
        <v>3.6827611000000003E-2</v>
      </c>
      <c r="X45">
        <v>4.3687713000000003E-2</v>
      </c>
      <c r="Y45">
        <v>3.4401531999999999E-2</v>
      </c>
      <c r="Z45">
        <v>4.7420829999999997E-2</v>
      </c>
      <c r="AA45">
        <v>3.8105732000000003E-2</v>
      </c>
      <c r="AB45">
        <v>5.1363793999999997E-2</v>
      </c>
      <c r="AC45">
        <v>3.1140212E-2</v>
      </c>
      <c r="AD45">
        <v>4.6081615999999999E-2</v>
      </c>
      <c r="AE45">
        <v>6.2683735000000004E-2</v>
      </c>
      <c r="AF45">
        <v>4.9564361000000001E-2</v>
      </c>
      <c r="AG45">
        <v>3.0605134999999999E-2</v>
      </c>
      <c r="AH45">
        <v>4.0639976000000001E-2</v>
      </c>
      <c r="AI45">
        <v>2.7773359000000001E-2</v>
      </c>
      <c r="AJ45">
        <v>3.9081416000000001E-2</v>
      </c>
      <c r="AK45">
        <v>3.5285327999999998E-2</v>
      </c>
      <c r="AL45">
        <v>3.8401815999999998E-2</v>
      </c>
      <c r="AM45">
        <v>5.2908538999999997E-2</v>
      </c>
      <c r="AN45">
        <v>4.3302047000000003E-2</v>
      </c>
      <c r="AO45">
        <v>4.0375819E-2</v>
      </c>
      <c r="AP45">
        <v>3.8741219E-2</v>
      </c>
      <c r="AQ45">
        <v>5.1019995999999998E-2</v>
      </c>
      <c r="AR45">
        <v>3.3903361999999999E-2</v>
      </c>
      <c r="AT45">
        <v>4.6300055E-2</v>
      </c>
    </row>
    <row r="47" spans="1:46" s="10" customFormat="1" x14ac:dyDescent="0.2">
      <c r="A47" s="10" t="s">
        <v>430</v>
      </c>
    </row>
    <row r="48" spans="1:46" x14ac:dyDescent="0.2">
      <c r="A48" t="s">
        <v>192</v>
      </c>
      <c r="B48" t="s">
        <v>193</v>
      </c>
      <c r="C48" t="s">
        <v>194</v>
      </c>
      <c r="D48" t="s">
        <v>195</v>
      </c>
      <c r="E48" t="s">
        <v>196</v>
      </c>
      <c r="F48" t="s">
        <v>197</v>
      </c>
      <c r="G48" t="s">
        <v>198</v>
      </c>
      <c r="H48" t="s">
        <v>199</v>
      </c>
      <c r="I48" t="s">
        <v>200</v>
      </c>
      <c r="J48" t="s">
        <v>201</v>
      </c>
      <c r="K48" t="s">
        <v>202</v>
      </c>
      <c r="L48" t="s">
        <v>203</v>
      </c>
      <c r="M48" t="s">
        <v>204</v>
      </c>
      <c r="N48" t="s">
        <v>205</v>
      </c>
      <c r="O48" t="s">
        <v>206</v>
      </c>
      <c r="P48" t="s">
        <v>207</v>
      </c>
      <c r="Q48" t="s">
        <v>208</v>
      </c>
      <c r="R48" t="s">
        <v>209</v>
      </c>
      <c r="S48" t="s">
        <v>210</v>
      </c>
      <c r="T48" t="s">
        <v>211</v>
      </c>
      <c r="U48" t="s">
        <v>212</v>
      </c>
      <c r="V48" t="s">
        <v>213</v>
      </c>
      <c r="W48" t="s">
        <v>214</v>
      </c>
      <c r="X48" t="s">
        <v>215</v>
      </c>
      <c r="Y48" t="s">
        <v>216</v>
      </c>
      <c r="Z48" t="s">
        <v>217</v>
      </c>
      <c r="AA48" t="s">
        <v>218</v>
      </c>
      <c r="AB48" t="s">
        <v>219</v>
      </c>
      <c r="AC48" t="s">
        <v>220</v>
      </c>
      <c r="AD48" t="s">
        <v>221</v>
      </c>
      <c r="AE48" t="s">
        <v>222</v>
      </c>
      <c r="AF48" t="s">
        <v>223</v>
      </c>
      <c r="AG48" t="s">
        <v>224</v>
      </c>
      <c r="AH48" t="s">
        <v>225</v>
      </c>
      <c r="AI48" t="s">
        <v>226</v>
      </c>
      <c r="AJ48" t="s">
        <v>227</v>
      </c>
      <c r="AK48" t="s">
        <v>228</v>
      </c>
      <c r="AL48" t="s">
        <v>229</v>
      </c>
      <c r="AM48" t="s">
        <v>230</v>
      </c>
      <c r="AN48" t="s">
        <v>231</v>
      </c>
      <c r="AO48" t="s">
        <v>232</v>
      </c>
      <c r="AP48" t="s">
        <v>233</v>
      </c>
      <c r="AQ48" t="s">
        <v>234</v>
      </c>
      <c r="AR48" t="s">
        <v>236</v>
      </c>
      <c r="AT48" t="s">
        <v>235</v>
      </c>
    </row>
    <row r="49" spans="1:46" x14ac:dyDescent="0.2">
      <c r="A49" t="s">
        <v>237</v>
      </c>
      <c r="B49" t="s">
        <v>238</v>
      </c>
      <c r="C49" t="s">
        <v>238</v>
      </c>
      <c r="D49" t="s">
        <v>238</v>
      </c>
      <c r="E49" t="s">
        <v>238</v>
      </c>
      <c r="F49" t="s">
        <v>238</v>
      </c>
      <c r="G49" t="s">
        <v>238</v>
      </c>
      <c r="H49" t="s">
        <v>238</v>
      </c>
      <c r="I49" t="s">
        <v>238</v>
      </c>
      <c r="J49" t="s">
        <v>238</v>
      </c>
      <c r="K49" t="s">
        <v>238</v>
      </c>
      <c r="L49" t="s">
        <v>238</v>
      </c>
      <c r="M49" t="s">
        <v>239</v>
      </c>
      <c r="N49" t="s">
        <v>239</v>
      </c>
      <c r="O49" t="s">
        <v>239</v>
      </c>
      <c r="P49" t="s">
        <v>239</v>
      </c>
      <c r="Q49" t="s">
        <v>239</v>
      </c>
      <c r="R49" t="s">
        <v>239</v>
      </c>
      <c r="S49" t="s">
        <v>239</v>
      </c>
      <c r="T49" t="s">
        <v>239</v>
      </c>
      <c r="U49" t="s">
        <v>239</v>
      </c>
      <c r="V49" t="s">
        <v>239</v>
      </c>
      <c r="W49" t="s">
        <v>239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3</v>
      </c>
      <c r="AK49" t="s">
        <v>3</v>
      </c>
      <c r="AL49" t="s">
        <v>3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T49" t="s">
        <v>3</v>
      </c>
    </row>
    <row r="50" spans="1:46" x14ac:dyDescent="0.2">
      <c r="A50" s="10" t="s">
        <v>241</v>
      </c>
      <c r="B50">
        <v>2.9179468860000002</v>
      </c>
      <c r="C50">
        <v>5.5409000219999998</v>
      </c>
      <c r="D50">
        <v>3.248420404</v>
      </c>
      <c r="E50">
        <v>2.1615213629999999</v>
      </c>
      <c r="F50">
        <v>2.4673278239999998</v>
      </c>
      <c r="G50">
        <v>4.5040709689999998</v>
      </c>
      <c r="H50">
        <v>4.7047812819999999</v>
      </c>
      <c r="I50">
        <v>3.9745553679999999</v>
      </c>
      <c r="J50">
        <v>3.263979849</v>
      </c>
      <c r="K50">
        <v>3.7431499220000002</v>
      </c>
      <c r="L50">
        <v>3.505073281</v>
      </c>
      <c r="M50">
        <v>3.2638135180000001</v>
      </c>
      <c r="N50">
        <v>3.1147359080000001</v>
      </c>
      <c r="O50">
        <v>2.899041929</v>
      </c>
      <c r="P50">
        <v>4.1025072890000001</v>
      </c>
      <c r="Q50">
        <v>4.1006191950000002</v>
      </c>
      <c r="R50">
        <v>5.54100445</v>
      </c>
      <c r="S50">
        <v>2.7914774370000002</v>
      </c>
      <c r="T50">
        <v>2.9569206669999999</v>
      </c>
      <c r="U50">
        <v>12.55588332</v>
      </c>
      <c r="V50">
        <v>2.836605713</v>
      </c>
      <c r="W50">
        <v>3.705551839</v>
      </c>
      <c r="X50">
        <v>2.9973564050000001</v>
      </c>
      <c r="Y50">
        <v>4.5203573270000001</v>
      </c>
      <c r="Z50">
        <v>2.8846463020000002</v>
      </c>
      <c r="AA50">
        <v>3.5336658349999999</v>
      </c>
      <c r="AB50">
        <v>3.9167107350000001</v>
      </c>
      <c r="AC50">
        <v>2.7228571430000001</v>
      </c>
      <c r="AD50">
        <v>4.5239900830000002</v>
      </c>
      <c r="AE50">
        <v>5.7305326069999998</v>
      </c>
      <c r="AF50">
        <v>3.244908159</v>
      </c>
      <c r="AG50">
        <v>4.6935940309999999</v>
      </c>
      <c r="AH50">
        <v>5.1961117110000004</v>
      </c>
      <c r="AI50">
        <v>3.0483394399999999</v>
      </c>
      <c r="AJ50">
        <v>4.4275191979999997</v>
      </c>
      <c r="AK50">
        <v>4.809771435</v>
      </c>
      <c r="AL50">
        <v>4.0352905840000002</v>
      </c>
      <c r="AM50">
        <v>3.4346059250000001</v>
      </c>
      <c r="AN50">
        <v>5.421424783</v>
      </c>
      <c r="AO50">
        <v>5.4396860599999997</v>
      </c>
      <c r="AP50">
        <v>2.9226280529999999</v>
      </c>
      <c r="AQ50">
        <v>5.6085988349999996</v>
      </c>
      <c r="AR50">
        <v>3.4656793609999998</v>
      </c>
      <c r="AT50">
        <v>7.7872367909999998</v>
      </c>
    </row>
    <row r="51" spans="1:46" x14ac:dyDescent="0.2">
      <c r="A51" s="10" t="s">
        <v>242</v>
      </c>
      <c r="B51">
        <v>5.6280814579999996</v>
      </c>
      <c r="C51">
        <v>10.4497894</v>
      </c>
      <c r="D51">
        <v>8.1251348439999997</v>
      </c>
      <c r="E51">
        <v>4.7417880959999996</v>
      </c>
      <c r="F51">
        <v>4.9577961430000004</v>
      </c>
      <c r="G51">
        <v>8.1289342569999992</v>
      </c>
      <c r="H51">
        <v>10.79918616</v>
      </c>
      <c r="I51">
        <v>10.988705700000001</v>
      </c>
      <c r="J51">
        <v>4.3753148609999997</v>
      </c>
      <c r="K51">
        <v>4.4413009580000002</v>
      </c>
      <c r="L51">
        <v>4.8563082910000004</v>
      </c>
      <c r="M51">
        <v>9.0138135179999992</v>
      </c>
      <c r="N51">
        <v>7.1338215710000004</v>
      </c>
      <c r="O51">
        <v>5.109508602</v>
      </c>
      <c r="P51">
        <v>6.5366763849999998</v>
      </c>
      <c r="Q51">
        <v>7.9224458200000001</v>
      </c>
      <c r="R51">
        <v>8.8272939180000005</v>
      </c>
      <c r="S51">
        <v>4.2736496280000003</v>
      </c>
      <c r="T51">
        <v>5.0466599529999998</v>
      </c>
      <c r="U51">
        <v>17.59095379</v>
      </c>
      <c r="V51">
        <v>4.2323249350000003</v>
      </c>
      <c r="W51">
        <v>6.2603344480000001</v>
      </c>
      <c r="X51">
        <v>5.7756548910000003</v>
      </c>
      <c r="Y51">
        <v>9.6095172649999991</v>
      </c>
      <c r="Z51">
        <v>6.2086012860000004</v>
      </c>
      <c r="AA51">
        <v>5.6234413969999997</v>
      </c>
      <c r="AB51">
        <v>5.1751718670000004</v>
      </c>
      <c r="AC51">
        <v>4.7460098520000003</v>
      </c>
      <c r="AD51">
        <v>9.8107043899999997</v>
      </c>
      <c r="AE51">
        <v>10.078221129999999</v>
      </c>
      <c r="AF51">
        <v>5.3021366990000001</v>
      </c>
      <c r="AG51">
        <v>6.9091844609999997</v>
      </c>
      <c r="AH51">
        <v>8.7608393769999999</v>
      </c>
      <c r="AI51">
        <v>5.7092542249999996</v>
      </c>
      <c r="AJ51">
        <v>9.6989500080000006</v>
      </c>
      <c r="AK51">
        <v>7.2543233760000003</v>
      </c>
      <c r="AL51">
        <v>10.093857939999999</v>
      </c>
      <c r="AM51">
        <v>6.2972944069999999</v>
      </c>
      <c r="AN51">
        <v>7.2400565669999999</v>
      </c>
      <c r="AO51">
        <v>9.4930899160000006</v>
      </c>
      <c r="AP51">
        <v>5.4457531880000003</v>
      </c>
      <c r="AQ51">
        <v>9.9773895170000007</v>
      </c>
      <c r="AR51">
        <v>4.7417724489999999</v>
      </c>
      <c r="AT51">
        <v>7.1357705720000002</v>
      </c>
    </row>
    <row r="52" spans="1:46" x14ac:dyDescent="0.2">
      <c r="A52" s="10" t="s">
        <v>243</v>
      </c>
      <c r="B52">
        <v>50.11694653</v>
      </c>
      <c r="C52">
        <v>106.0321436</v>
      </c>
      <c r="D52">
        <v>87.888426569999993</v>
      </c>
      <c r="E52">
        <v>46.104346749999998</v>
      </c>
      <c r="F52">
        <v>48.41741047</v>
      </c>
      <c r="G52">
        <v>66.004496290000006</v>
      </c>
      <c r="H52">
        <v>69.89298067</v>
      </c>
      <c r="I52">
        <v>101.8513566</v>
      </c>
      <c r="J52">
        <v>71.288287150000002</v>
      </c>
      <c r="K52">
        <v>49.402205389999999</v>
      </c>
      <c r="L52">
        <v>44.698370400000002</v>
      </c>
      <c r="M52">
        <v>84.478046370000001</v>
      </c>
      <c r="N52">
        <v>68.055037729999995</v>
      </c>
      <c r="O52">
        <v>53.64911919</v>
      </c>
      <c r="P52">
        <v>65.018542269999998</v>
      </c>
      <c r="Q52">
        <v>63.103560369999997</v>
      </c>
      <c r="R52">
        <v>119.8190295</v>
      </c>
      <c r="S52">
        <v>38.697845200000003</v>
      </c>
      <c r="T52">
        <v>59.705382120000003</v>
      </c>
      <c r="U52">
        <v>160.8023599</v>
      </c>
      <c r="V52">
        <v>41.180079210000002</v>
      </c>
      <c r="W52">
        <v>52.678260870000003</v>
      </c>
      <c r="X52">
        <v>72.516101899999995</v>
      </c>
      <c r="Y52">
        <v>82.298745920000002</v>
      </c>
      <c r="Z52">
        <v>52.725884239999999</v>
      </c>
      <c r="AA52">
        <v>74.740523690000003</v>
      </c>
      <c r="AB52">
        <v>69.725409839999998</v>
      </c>
      <c r="AC52">
        <v>52.7017734</v>
      </c>
      <c r="AD52">
        <v>142.39477909999999</v>
      </c>
      <c r="AE52">
        <v>101.131306</v>
      </c>
      <c r="AF52">
        <v>98.387104840000006</v>
      </c>
      <c r="AG52">
        <v>62.386158989999998</v>
      </c>
      <c r="AH52">
        <v>97.519210000000001</v>
      </c>
      <c r="AI52">
        <v>60.497340739999999</v>
      </c>
      <c r="AJ52">
        <v>130.7139947</v>
      </c>
      <c r="AK52">
        <v>61.944370540000001</v>
      </c>
      <c r="AL52">
        <v>72.909295689999993</v>
      </c>
      <c r="AM52">
        <v>88.42883114</v>
      </c>
      <c r="AN52">
        <v>104.0715927</v>
      </c>
      <c r="AO52">
        <v>126.55929020000001</v>
      </c>
      <c r="AP52">
        <v>68.861357249999998</v>
      </c>
      <c r="AQ52">
        <v>95.112367250000005</v>
      </c>
      <c r="AR52">
        <v>60.382816169999998</v>
      </c>
      <c r="AT52">
        <v>115.6696809</v>
      </c>
    </row>
    <row r="53" spans="1:46" x14ac:dyDescent="0.2">
      <c r="A53" s="10" t="s">
        <v>244</v>
      </c>
      <c r="B53">
        <v>3.9153269019999999</v>
      </c>
      <c r="C53">
        <v>7.1709155400000002</v>
      </c>
      <c r="D53">
        <v>5.0115580209999999</v>
      </c>
      <c r="E53">
        <v>3.6362064709999999</v>
      </c>
      <c r="F53">
        <v>3.8498071629999999</v>
      </c>
      <c r="G53">
        <v>5.7822335640000002</v>
      </c>
      <c r="H53">
        <v>5.9947100710000001</v>
      </c>
      <c r="I53">
        <v>6.0826950540000002</v>
      </c>
      <c r="J53">
        <v>3.57581864</v>
      </c>
      <c r="K53">
        <v>3.1432390290000001</v>
      </c>
      <c r="L53">
        <v>4.6808445220000001</v>
      </c>
      <c r="M53">
        <v>3.231376418</v>
      </c>
      <c r="N53">
        <v>4.5113182419999998</v>
      </c>
      <c r="O53">
        <v>2.7487380240000001</v>
      </c>
      <c r="P53">
        <v>5.6904956269999998</v>
      </c>
      <c r="Q53">
        <v>4.6537151699999999</v>
      </c>
      <c r="R53">
        <v>5.8938334389999998</v>
      </c>
      <c r="S53">
        <v>3.21992463</v>
      </c>
      <c r="T53">
        <v>2.8845250079999998</v>
      </c>
      <c r="U53">
        <v>11.588003929999999</v>
      </c>
      <c r="V53">
        <v>2.666217241</v>
      </c>
      <c r="W53">
        <v>4.2429431439999998</v>
      </c>
      <c r="X53">
        <v>2.9464071139999999</v>
      </c>
      <c r="Y53">
        <v>6.1104621200000002</v>
      </c>
      <c r="Z53">
        <v>5.1291532689999997</v>
      </c>
      <c r="AA53">
        <v>4.5622194509999998</v>
      </c>
      <c r="AB53">
        <v>3.719857218</v>
      </c>
      <c r="AC53">
        <v>2.7933004929999998</v>
      </c>
      <c r="AD53">
        <v>4.4695931169999996</v>
      </c>
      <c r="AE53">
        <v>5.4290736510000004</v>
      </c>
      <c r="AF53">
        <v>3.1094589529999999</v>
      </c>
      <c r="AG53">
        <v>2.1498585029999999</v>
      </c>
      <c r="AH53">
        <v>5.5031630920000003</v>
      </c>
      <c r="AI53">
        <v>3.5577354919999999</v>
      </c>
      <c r="AJ53">
        <v>5.2208117850000004</v>
      </c>
      <c r="AK53">
        <v>5.0639738779999997</v>
      </c>
      <c r="AL53">
        <v>3.6185613459999999</v>
      </c>
      <c r="AM53">
        <v>3.3799593630000002</v>
      </c>
      <c r="AN53">
        <v>3.877143362</v>
      </c>
      <c r="AO53">
        <v>4.2769152019999996</v>
      </c>
      <c r="AP53">
        <v>2.1784093370000002</v>
      </c>
      <c r="AQ53">
        <v>5.3004453580000002</v>
      </c>
      <c r="AR53">
        <v>3.2387165019999999</v>
      </c>
      <c r="AT53">
        <v>3.4751324119999998</v>
      </c>
    </row>
    <row r="54" spans="1:46" x14ac:dyDescent="0.2">
      <c r="A54" s="10" t="s">
        <v>245</v>
      </c>
      <c r="B54">
        <v>36.994640939999996</v>
      </c>
      <c r="C54">
        <v>79.641321210000001</v>
      </c>
      <c r="D54">
        <v>79.382955769999995</v>
      </c>
      <c r="E54">
        <v>43.171400349999999</v>
      </c>
      <c r="F54">
        <v>37.532011019999999</v>
      </c>
      <c r="G54">
        <v>57.561307569999997</v>
      </c>
      <c r="H54">
        <v>70.484638860000004</v>
      </c>
      <c r="I54">
        <v>62.21420226</v>
      </c>
      <c r="J54">
        <v>45.467380349999999</v>
      </c>
      <c r="K54">
        <v>38.091000219999998</v>
      </c>
      <c r="L54">
        <v>39.578353999999997</v>
      </c>
      <c r="M54">
        <v>40.693019239999998</v>
      </c>
      <c r="N54">
        <v>50.787949400000002</v>
      </c>
      <c r="O54">
        <v>42.382919540000003</v>
      </c>
      <c r="P54">
        <v>60.142157429999997</v>
      </c>
      <c r="Q54">
        <v>38.022600619999999</v>
      </c>
      <c r="R54">
        <v>93.134138590000006</v>
      </c>
      <c r="S54">
        <v>38.927335970000001</v>
      </c>
      <c r="T54">
        <v>36.944612290000002</v>
      </c>
      <c r="U54">
        <v>100.84693540000001</v>
      </c>
      <c r="V54">
        <v>35.496081570000001</v>
      </c>
      <c r="W54">
        <v>37.608294309999998</v>
      </c>
      <c r="X54">
        <v>48.120043260000003</v>
      </c>
      <c r="Y54">
        <v>69.564679609999999</v>
      </c>
      <c r="Z54">
        <v>48.648177920000002</v>
      </c>
      <c r="AA54">
        <v>57.394264339999999</v>
      </c>
      <c r="AB54">
        <v>45.284769959999998</v>
      </c>
      <c r="AC54">
        <v>37.309064040000003</v>
      </c>
      <c r="AD54">
        <v>83.280880850000003</v>
      </c>
      <c r="AE54">
        <v>68.352786080000001</v>
      </c>
      <c r="AF54">
        <v>54.180932149999997</v>
      </c>
      <c r="AG54">
        <v>40.400437359999998</v>
      </c>
      <c r="AH54">
        <v>96.31630921</v>
      </c>
      <c r="AI54">
        <v>37.006500410000001</v>
      </c>
      <c r="AJ54">
        <v>94.203416390000001</v>
      </c>
      <c r="AK54">
        <v>59.957189499999998</v>
      </c>
      <c r="AL54">
        <v>61.590779400000002</v>
      </c>
      <c r="AM54">
        <v>62.91070474</v>
      </c>
      <c r="AN54">
        <v>70.091921510000006</v>
      </c>
      <c r="AO54">
        <v>84.314110220000003</v>
      </c>
      <c r="AP54">
        <v>56.675923920000002</v>
      </c>
      <c r="AQ54">
        <v>63.094039049999999</v>
      </c>
      <c r="AR54">
        <v>37.955688760000001</v>
      </c>
      <c r="AT54">
        <v>77.416354479999995</v>
      </c>
    </row>
    <row r="55" spans="1:46" x14ac:dyDescent="0.2">
      <c r="A55" s="10" t="s">
        <v>246</v>
      </c>
      <c r="B55">
        <v>25.31392164</v>
      </c>
      <c r="C55">
        <v>42.622035029999999</v>
      </c>
      <c r="D55">
        <v>35.807212210000003</v>
      </c>
      <c r="E55">
        <v>18.183255119999998</v>
      </c>
      <c r="F55">
        <v>21.029972449999999</v>
      </c>
      <c r="G55">
        <v>31.2787702</v>
      </c>
      <c r="H55">
        <v>28.013835199999999</v>
      </c>
      <c r="I55">
        <v>41.033233809999999</v>
      </c>
      <c r="J55">
        <v>20.078841310000001</v>
      </c>
      <c r="K55">
        <v>23.898529740000001</v>
      </c>
      <c r="L55">
        <v>16.285231119999999</v>
      </c>
      <c r="M55">
        <v>31.052294029999999</v>
      </c>
      <c r="N55">
        <v>24.605858850000001</v>
      </c>
      <c r="O55">
        <v>21.31544246</v>
      </c>
      <c r="P55">
        <v>30.01166181</v>
      </c>
      <c r="Q55">
        <v>20.104643960000001</v>
      </c>
      <c r="R55">
        <v>54.705022249999999</v>
      </c>
      <c r="S55">
        <v>19.318871390000002</v>
      </c>
      <c r="T55">
        <v>24.780910819999999</v>
      </c>
      <c r="U55">
        <v>54.841035730000002</v>
      </c>
      <c r="V55">
        <v>20.916575380000001</v>
      </c>
      <c r="W55">
        <v>19.730301000000001</v>
      </c>
      <c r="X55">
        <v>28.02895938</v>
      </c>
      <c r="Y55">
        <v>37.745919950000001</v>
      </c>
      <c r="Z55">
        <v>20.438906750000001</v>
      </c>
      <c r="AA55">
        <v>27.22693267</v>
      </c>
      <c r="AB55">
        <v>23.7117927</v>
      </c>
      <c r="AC55">
        <v>17.962364529999999</v>
      </c>
      <c r="AD55">
        <v>47.570366049999997</v>
      </c>
      <c r="AE55">
        <v>43.541923009999998</v>
      </c>
      <c r="AF55">
        <v>33.167562160000003</v>
      </c>
      <c r="AG55">
        <v>19.400308720000002</v>
      </c>
      <c r="AH55">
        <v>45.418916830000001</v>
      </c>
      <c r="AI55">
        <v>25.5199149</v>
      </c>
      <c r="AJ55">
        <v>60.772292739999997</v>
      </c>
      <c r="AK55">
        <v>34.401983309999999</v>
      </c>
      <c r="AL55">
        <v>38.860489559999998</v>
      </c>
      <c r="AM55">
        <v>35.308416209999997</v>
      </c>
      <c r="AN55">
        <v>36.736786279999997</v>
      </c>
      <c r="AO55">
        <v>47.070977650000003</v>
      </c>
      <c r="AP55">
        <v>25.340393339999999</v>
      </c>
      <c r="AQ55">
        <v>37.18568003</v>
      </c>
      <c r="AR55">
        <v>29.404090270000001</v>
      </c>
      <c r="AT55">
        <v>74.786332520000002</v>
      </c>
    </row>
    <row r="56" spans="1:46" x14ac:dyDescent="0.2">
      <c r="A56" s="10" t="s">
        <v>247</v>
      </c>
      <c r="B56">
        <v>134.6111707</v>
      </c>
      <c r="C56">
        <v>262.49589889999999</v>
      </c>
      <c r="D56">
        <v>204.791031</v>
      </c>
      <c r="E56">
        <v>100.21733759999999</v>
      </c>
      <c r="F56">
        <v>103.08925619999999</v>
      </c>
      <c r="G56">
        <v>134.09089800000001</v>
      </c>
      <c r="H56">
        <v>187.41241099999999</v>
      </c>
      <c r="I56">
        <v>176.89887060000001</v>
      </c>
      <c r="J56">
        <v>162.53161209999999</v>
      </c>
      <c r="K56">
        <v>137.69737140000001</v>
      </c>
      <c r="L56">
        <v>109.7124116</v>
      </c>
      <c r="M56">
        <v>148.17168229999999</v>
      </c>
      <c r="N56">
        <v>119.6181758</v>
      </c>
      <c r="O56">
        <v>106.5350778</v>
      </c>
      <c r="P56">
        <v>120.52419829999999</v>
      </c>
      <c r="Q56">
        <v>157.24040249999999</v>
      </c>
      <c r="R56">
        <v>278.51536340000001</v>
      </c>
      <c r="S56">
        <v>119.51995359999999</v>
      </c>
      <c r="T56">
        <v>121.15441420000001</v>
      </c>
      <c r="U56">
        <v>459.36840380000001</v>
      </c>
      <c r="V56">
        <v>116.678436</v>
      </c>
      <c r="W56">
        <v>150.63545149999999</v>
      </c>
      <c r="X56">
        <v>130.06633020000001</v>
      </c>
      <c r="Y56">
        <v>161.2204089</v>
      </c>
      <c r="Z56">
        <v>134.02143620000001</v>
      </c>
      <c r="AA56">
        <v>122.9352868</v>
      </c>
      <c r="AB56">
        <v>147.7628239</v>
      </c>
      <c r="AC56">
        <v>95.768571429999994</v>
      </c>
      <c r="AD56">
        <v>158.31194400000001</v>
      </c>
      <c r="AE56">
        <v>227.443839</v>
      </c>
      <c r="AF56">
        <v>174.65975259999999</v>
      </c>
      <c r="AG56">
        <v>169.3925907</v>
      </c>
      <c r="AH56">
        <v>207.47322940000001</v>
      </c>
      <c r="AI56">
        <v>126.57570029999999</v>
      </c>
      <c r="AJ56">
        <v>156.82604610000001</v>
      </c>
      <c r="AK56">
        <v>111.51602370000001</v>
      </c>
      <c r="AL56">
        <v>162.64349000000001</v>
      </c>
      <c r="AM56">
        <v>140.23227460000001</v>
      </c>
      <c r="AN56">
        <v>204.53066999999999</v>
      </c>
      <c r="AO56">
        <v>240.54734690000001</v>
      </c>
      <c r="AP56">
        <v>130.0471148</v>
      </c>
      <c r="AQ56">
        <v>203.8064406</v>
      </c>
      <c r="AR56">
        <v>144.84684999999999</v>
      </c>
      <c r="AT56">
        <v>129.51840849999999</v>
      </c>
    </row>
    <row r="57" spans="1:46" x14ac:dyDescent="0.2">
      <c r="A57" s="10" t="s">
        <v>248</v>
      </c>
      <c r="B57">
        <v>1.556031916</v>
      </c>
      <c r="C57">
        <v>2.389492352</v>
      </c>
      <c r="D57">
        <v>1.9790414549999999</v>
      </c>
      <c r="E57">
        <v>1.5070387750000001</v>
      </c>
      <c r="F57">
        <v>1.4041873279999999</v>
      </c>
      <c r="G57">
        <v>1.3847369060000001</v>
      </c>
      <c r="H57">
        <v>1.596134283</v>
      </c>
      <c r="I57">
        <v>3.1416331300000002</v>
      </c>
      <c r="J57">
        <v>1.8313602019999999</v>
      </c>
      <c r="K57">
        <v>1.8990866559999999</v>
      </c>
      <c r="L57">
        <v>1.2470021520000001</v>
      </c>
      <c r="M57">
        <v>1.9997533300000001</v>
      </c>
      <c r="N57">
        <v>2.2765201949999998</v>
      </c>
      <c r="O57">
        <v>1.959513753</v>
      </c>
      <c r="P57">
        <v>1.6854810499999999</v>
      </c>
      <c r="Q57">
        <v>1.257120743</v>
      </c>
      <c r="R57">
        <v>3.6270396269999998</v>
      </c>
      <c r="S57">
        <v>1.3555899119999999</v>
      </c>
      <c r="T57">
        <v>2.0522546720000001</v>
      </c>
      <c r="U57">
        <v>5.3241560139999997</v>
      </c>
      <c r="V57">
        <v>1.6176792790000001</v>
      </c>
      <c r="W57">
        <v>1.156254181</v>
      </c>
      <c r="X57">
        <v>1.8030521509999999</v>
      </c>
      <c r="Y57">
        <v>2.243428964</v>
      </c>
      <c r="Z57">
        <v>1.9679796359999999</v>
      </c>
      <c r="AA57">
        <v>2.3394014959999998</v>
      </c>
      <c r="AB57">
        <v>1.8404283450000001</v>
      </c>
      <c r="AC57">
        <v>1.319507389</v>
      </c>
      <c r="AD57">
        <v>2.0936269510000001</v>
      </c>
      <c r="AE57">
        <v>4.4612409910000004</v>
      </c>
      <c r="AF57">
        <v>1.5201799330000001</v>
      </c>
      <c r="AG57">
        <v>1.336377669</v>
      </c>
      <c r="AH57">
        <v>3.2934732289999999</v>
      </c>
      <c r="AI57">
        <v>1.2265689630000001</v>
      </c>
      <c r="AJ57">
        <v>2.169409184</v>
      </c>
      <c r="AK57">
        <v>1.204377797</v>
      </c>
      <c r="AL57">
        <v>2.009310707</v>
      </c>
      <c r="AM57">
        <v>1.6663458449999999</v>
      </c>
      <c r="AN57">
        <v>3.5048612339999998</v>
      </c>
      <c r="AO57">
        <v>3.6033100149999999</v>
      </c>
      <c r="AP57">
        <v>2.1486924570000001</v>
      </c>
      <c r="AQ57">
        <v>3.290167866</v>
      </c>
      <c r="AR57">
        <v>2.6028443819999998</v>
      </c>
      <c r="AT57">
        <v>12.63454334</v>
      </c>
    </row>
    <row r="58" spans="1:46" x14ac:dyDescent="0.2">
      <c r="A58" s="10" t="s">
        <v>249</v>
      </c>
      <c r="B58">
        <v>460.54102660000001</v>
      </c>
      <c r="C58">
        <v>957.221902</v>
      </c>
      <c r="D58">
        <v>475.18924329999999</v>
      </c>
      <c r="E58">
        <v>417.72079530000002</v>
      </c>
      <c r="F58">
        <v>468.93862259999997</v>
      </c>
      <c r="G58">
        <v>453.91286910000002</v>
      </c>
      <c r="H58">
        <v>753.16419129999997</v>
      </c>
      <c r="I58">
        <v>563.2887187</v>
      </c>
      <c r="J58">
        <v>545.61070529999995</v>
      </c>
      <c r="K58">
        <v>385.90354200000002</v>
      </c>
      <c r="L58">
        <v>377.1580404</v>
      </c>
      <c r="M58">
        <v>442.03330039999997</v>
      </c>
      <c r="N58">
        <v>417.48069240000001</v>
      </c>
      <c r="O58">
        <v>373.24889259999998</v>
      </c>
      <c r="P58">
        <v>528.44583090000003</v>
      </c>
      <c r="Q58">
        <v>578.7611455</v>
      </c>
      <c r="R58">
        <v>894.98898069999996</v>
      </c>
      <c r="S58">
        <v>360.40718909999998</v>
      </c>
      <c r="T58">
        <v>477.58420050000001</v>
      </c>
      <c r="U58">
        <v>1027.6171750000001</v>
      </c>
      <c r="V58">
        <v>282.90553640000002</v>
      </c>
      <c r="W58">
        <v>508.11103680000002</v>
      </c>
      <c r="X58">
        <v>549.89605859999995</v>
      </c>
      <c r="Y58">
        <v>582.8268339</v>
      </c>
      <c r="Z58">
        <v>474.46221860000003</v>
      </c>
      <c r="AA58">
        <v>447.82107230000003</v>
      </c>
      <c r="AB58">
        <v>422.25198310000002</v>
      </c>
      <c r="AC58">
        <v>366.3611823</v>
      </c>
      <c r="AD58">
        <v>541.97258280000005</v>
      </c>
      <c r="AE58">
        <v>719.45913169999994</v>
      </c>
      <c r="AF58">
        <v>432.29101589999999</v>
      </c>
      <c r="AG58">
        <v>513.47941860000003</v>
      </c>
      <c r="AH58">
        <v>658.70776109999997</v>
      </c>
      <c r="AI58">
        <v>383.96336129999997</v>
      </c>
      <c r="AJ58">
        <v>666.55414510000003</v>
      </c>
      <c r="AK58">
        <v>384.01898660000001</v>
      </c>
      <c r="AL58">
        <v>600.96801319999997</v>
      </c>
      <c r="AM58">
        <v>511.47267670000002</v>
      </c>
      <c r="AN58">
        <v>636.06310770000005</v>
      </c>
      <c r="AO58">
        <v>768.87340040000004</v>
      </c>
      <c r="AP58">
        <v>436.6318349</v>
      </c>
      <c r="AQ58">
        <v>688.63086669999996</v>
      </c>
      <c r="AR58">
        <v>437.3774095</v>
      </c>
      <c r="AT58">
        <v>366.0267407</v>
      </c>
    </row>
    <row r="59" spans="1:46" x14ac:dyDescent="0.2">
      <c r="A59" s="10" t="s">
        <v>250</v>
      </c>
      <c r="B59">
        <v>126.17649160000001</v>
      </c>
      <c r="C59">
        <v>231.95588559999999</v>
      </c>
      <c r="D59">
        <v>127.6107258</v>
      </c>
      <c r="E59">
        <v>110.2211657</v>
      </c>
      <c r="F59">
        <v>105.0298623</v>
      </c>
      <c r="G59">
        <v>148.78988939999999</v>
      </c>
      <c r="H59">
        <v>157.8415056</v>
      </c>
      <c r="I59">
        <v>149.21511100000001</v>
      </c>
      <c r="J59">
        <v>128.1764484</v>
      </c>
      <c r="K59">
        <v>105.8896191</v>
      </c>
      <c r="L59">
        <v>79.963103410000002</v>
      </c>
      <c r="M59">
        <v>143.88702520000001</v>
      </c>
      <c r="N59">
        <v>98.283288949999999</v>
      </c>
      <c r="O59">
        <v>124.2467292</v>
      </c>
      <c r="P59">
        <v>124.4149271</v>
      </c>
      <c r="Q59">
        <v>189.7637771</v>
      </c>
      <c r="R59">
        <v>233.4825175</v>
      </c>
      <c r="S59">
        <v>106.1996328</v>
      </c>
      <c r="T59">
        <v>141.6765134</v>
      </c>
      <c r="U59">
        <v>424.72763029999999</v>
      </c>
      <c r="V59">
        <v>84.678436000000005</v>
      </c>
      <c r="W59">
        <v>113.2323746</v>
      </c>
      <c r="X59">
        <v>132.11115119999999</v>
      </c>
      <c r="Y59">
        <v>169.8797457</v>
      </c>
      <c r="Z59">
        <v>120.9237674</v>
      </c>
      <c r="AA59">
        <v>118.3173317</v>
      </c>
      <c r="AB59">
        <v>162.69222629999999</v>
      </c>
      <c r="AC59">
        <v>85.953793099999999</v>
      </c>
      <c r="AD59">
        <v>159.41490450000001</v>
      </c>
      <c r="AE59">
        <v>202.2879241</v>
      </c>
      <c r="AF59">
        <v>131.66737470000001</v>
      </c>
      <c r="AG59">
        <v>143.0437355</v>
      </c>
      <c r="AH59">
        <v>137.8055856</v>
      </c>
      <c r="AI59">
        <v>133.933223</v>
      </c>
      <c r="AJ59">
        <v>157.55555559999999</v>
      </c>
      <c r="AK59">
        <v>88.664530170000006</v>
      </c>
      <c r="AL59">
        <v>129.7454573</v>
      </c>
      <c r="AM59">
        <v>116.5990803</v>
      </c>
      <c r="AN59">
        <v>189.66519360000001</v>
      </c>
      <c r="AO59">
        <v>228.56065520000001</v>
      </c>
      <c r="AP59">
        <v>110.0980117</v>
      </c>
      <c r="AQ59">
        <v>193.6860226</v>
      </c>
      <c r="AR59">
        <v>123.3560179</v>
      </c>
      <c r="AT59">
        <v>106.78090690000001</v>
      </c>
    </row>
    <row r="60" spans="1:46" x14ac:dyDescent="0.2">
      <c r="A60" s="10" t="s">
        <v>251</v>
      </c>
      <c r="B60">
        <v>341.36727400000001</v>
      </c>
      <c r="C60">
        <v>730.82841940000003</v>
      </c>
      <c r="D60">
        <v>501.2254585</v>
      </c>
      <c r="E60">
        <v>318.30723640000002</v>
      </c>
      <c r="F60">
        <v>327.929146</v>
      </c>
      <c r="G60">
        <v>350.62279740000002</v>
      </c>
      <c r="H60">
        <v>670.73753810000005</v>
      </c>
      <c r="I60">
        <v>591.31675970000003</v>
      </c>
      <c r="J60">
        <v>441.0130982</v>
      </c>
      <c r="K60">
        <v>364.22376919999999</v>
      </c>
      <c r="L60">
        <v>335.09336889999997</v>
      </c>
      <c r="M60">
        <v>380.22015290000002</v>
      </c>
      <c r="N60">
        <v>340.4604971</v>
      </c>
      <c r="O60">
        <v>372.1559699</v>
      </c>
      <c r="P60">
        <v>439.98029150000002</v>
      </c>
      <c r="Q60">
        <v>504.32755420000001</v>
      </c>
      <c r="R60">
        <v>735.3021827</v>
      </c>
      <c r="S60">
        <v>308.26147450000002</v>
      </c>
      <c r="T60">
        <v>394.0325613</v>
      </c>
      <c r="U60">
        <v>1282.4450999999999</v>
      </c>
      <c r="V60">
        <v>328.5538047</v>
      </c>
      <c r="W60">
        <v>459.54809360000002</v>
      </c>
      <c r="X60">
        <v>415.45277579999998</v>
      </c>
      <c r="Y60">
        <v>499.83061329999998</v>
      </c>
      <c r="Z60">
        <v>425.75576100000001</v>
      </c>
      <c r="AA60">
        <v>402.39775559999998</v>
      </c>
      <c r="AB60">
        <v>418.81623480000002</v>
      </c>
      <c r="AC60">
        <v>273.2723153</v>
      </c>
      <c r="AD60">
        <v>467.60974190000002</v>
      </c>
      <c r="AE60">
        <v>715.63350330000003</v>
      </c>
      <c r="AF60">
        <v>422.9010371</v>
      </c>
      <c r="AG60">
        <v>458.41085670000001</v>
      </c>
      <c r="AH60">
        <v>484.4815615</v>
      </c>
      <c r="AI60">
        <v>324.48623090000001</v>
      </c>
      <c r="AJ60">
        <v>470.45384739999997</v>
      </c>
      <c r="AK60">
        <v>327.07872780000002</v>
      </c>
      <c r="AL60">
        <v>425.42258600000002</v>
      </c>
      <c r="AM60">
        <v>390.01080100000001</v>
      </c>
      <c r="AN60">
        <v>568.21583880000003</v>
      </c>
      <c r="AO60">
        <v>713.23528409999994</v>
      </c>
      <c r="AP60">
        <v>371.5727253</v>
      </c>
      <c r="AQ60">
        <v>645.14576910000005</v>
      </c>
      <c r="AR60">
        <v>441.34543960000002</v>
      </c>
      <c r="AT60">
        <v>490.39969000000002</v>
      </c>
    </row>
    <row r="61" spans="1:46" x14ac:dyDescent="0.2">
      <c r="A61" s="10" t="s">
        <v>252</v>
      </c>
      <c r="B61">
        <v>4.3490532330000002</v>
      </c>
      <c r="C61">
        <v>7.2932830859999997</v>
      </c>
      <c r="D61">
        <v>6.5635691170000001</v>
      </c>
      <c r="E61">
        <v>4.5479130650000004</v>
      </c>
      <c r="F61">
        <v>3.6286501379999998</v>
      </c>
      <c r="G61">
        <v>5.1922469319999998</v>
      </c>
      <c r="H61">
        <v>6.6970498469999997</v>
      </c>
      <c r="I61">
        <v>5.1298195509999998</v>
      </c>
      <c r="J61">
        <v>4.3792191440000003</v>
      </c>
      <c r="K61">
        <v>3.6082646469999999</v>
      </c>
      <c r="L61">
        <v>4.8649174950000003</v>
      </c>
      <c r="M61">
        <v>3.7141095210000001</v>
      </c>
      <c r="N61">
        <v>2.8678428760000001</v>
      </c>
      <c r="O61">
        <v>3.1996497370000001</v>
      </c>
      <c r="P61">
        <v>5.1951020410000002</v>
      </c>
      <c r="Q61">
        <v>4.8212074300000003</v>
      </c>
      <c r="R61">
        <v>6.6414494599999996</v>
      </c>
      <c r="S61">
        <v>3.3798434629999998</v>
      </c>
      <c r="T61">
        <v>3.4363880500000001</v>
      </c>
      <c r="U61">
        <v>13.97214028</v>
      </c>
      <c r="V61">
        <v>2.660234263</v>
      </c>
      <c r="W61">
        <v>4.1079598659999998</v>
      </c>
      <c r="X61">
        <v>3.2614756069999999</v>
      </c>
      <c r="Y61">
        <v>3.4246693010000002</v>
      </c>
      <c r="Z61">
        <v>4.5243837080000002</v>
      </c>
      <c r="AA61">
        <v>4.0357855359999997</v>
      </c>
      <c r="AB61">
        <v>3.0756213639999999</v>
      </c>
      <c r="AC61">
        <v>2.664137931</v>
      </c>
      <c r="AD61">
        <v>4.170920228</v>
      </c>
      <c r="AE61">
        <v>5.5285638949999996</v>
      </c>
      <c r="AF61">
        <v>4.383981007</v>
      </c>
      <c r="AG61">
        <v>3.7774633390000001</v>
      </c>
      <c r="AH61">
        <v>4.9347322939999998</v>
      </c>
      <c r="AI61">
        <v>3.3133199389999999</v>
      </c>
      <c r="AJ61">
        <v>4.5146528760000004</v>
      </c>
      <c r="AK61">
        <v>4.2967710730000004</v>
      </c>
      <c r="AL61">
        <v>4.3799369270000001</v>
      </c>
      <c r="AM61">
        <v>3.5432574059999999</v>
      </c>
      <c r="AN61">
        <v>6.1364680930000004</v>
      </c>
      <c r="AO61">
        <v>5.1738611160000003</v>
      </c>
      <c r="AP61">
        <v>3.2794467260000002</v>
      </c>
      <c r="AQ61">
        <v>5.2881123670000001</v>
      </c>
      <c r="AR61">
        <v>3.8965679359999998</v>
      </c>
      <c r="AT61">
        <v>1.521767214</v>
      </c>
    </row>
    <row r="62" spans="1:46" x14ac:dyDescent="0.2">
      <c r="A62" s="10" t="s">
        <v>253</v>
      </c>
      <c r="B62">
        <v>158.93199949999999</v>
      </c>
      <c r="C62">
        <v>317.70605189999998</v>
      </c>
      <c r="D62">
        <v>217.59978430000001</v>
      </c>
      <c r="E62">
        <v>180.48332919999999</v>
      </c>
      <c r="F62">
        <v>154.85685950000001</v>
      </c>
      <c r="G62">
        <v>143.80836070000001</v>
      </c>
      <c r="H62">
        <v>297.97029500000002</v>
      </c>
      <c r="I62">
        <v>259.99493699999999</v>
      </c>
      <c r="J62">
        <v>228.49722919999999</v>
      </c>
      <c r="K62">
        <v>190.67331250000001</v>
      </c>
      <c r="L62">
        <v>171.64835500000001</v>
      </c>
      <c r="M62">
        <v>175.5788111</v>
      </c>
      <c r="N62">
        <v>174.9641589</v>
      </c>
      <c r="O62">
        <v>136.06819820000001</v>
      </c>
      <c r="P62">
        <v>235.08956269999999</v>
      </c>
      <c r="Q62">
        <v>198.8272446</v>
      </c>
      <c r="R62">
        <v>316.815427</v>
      </c>
      <c r="S62">
        <v>166.75359940000001</v>
      </c>
      <c r="T62">
        <v>173.7175786</v>
      </c>
      <c r="U62">
        <v>587.056375</v>
      </c>
      <c r="V62">
        <v>136.3545968</v>
      </c>
      <c r="W62">
        <v>203.7070234</v>
      </c>
      <c r="X62">
        <v>176.5072098</v>
      </c>
      <c r="Y62">
        <v>242.95876999999999</v>
      </c>
      <c r="Z62">
        <v>170.80627010000001</v>
      </c>
      <c r="AA62">
        <v>190.8840399</v>
      </c>
      <c r="AB62">
        <v>157.50885769999999</v>
      </c>
      <c r="AC62">
        <v>135.8825616</v>
      </c>
      <c r="AD62">
        <v>230.2632347</v>
      </c>
      <c r="AE62">
        <v>268.93496219999997</v>
      </c>
      <c r="AF62">
        <v>207.60689740000001</v>
      </c>
      <c r="AG62">
        <v>216.6971958</v>
      </c>
      <c r="AH62">
        <v>263.14226200000002</v>
      </c>
      <c r="AI62">
        <v>133.57640939999999</v>
      </c>
      <c r="AJ62">
        <v>204.81272530000001</v>
      </c>
      <c r="AK62">
        <v>183.8865643</v>
      </c>
      <c r="AL62">
        <v>235.46253189999999</v>
      </c>
      <c r="AM62">
        <v>209.22297080000001</v>
      </c>
      <c r="AN62">
        <v>280.75251900000001</v>
      </c>
      <c r="AO62">
        <v>310.52840809999998</v>
      </c>
      <c r="AP62">
        <v>161.62697209999999</v>
      </c>
      <c r="AQ62">
        <v>276.40596090000003</v>
      </c>
      <c r="AR62">
        <v>174.48942170000001</v>
      </c>
      <c r="AT62">
        <v>252.85415320000001</v>
      </c>
    </row>
    <row r="63" spans="1:46" x14ac:dyDescent="0.2">
      <c r="A63" s="10" t="s">
        <v>254</v>
      </c>
      <c r="B63">
        <v>30.432178159999999</v>
      </c>
      <c r="C63">
        <v>64.892706720000007</v>
      </c>
      <c r="D63">
        <v>45.964093079999998</v>
      </c>
      <c r="E63">
        <v>29.542726600000002</v>
      </c>
      <c r="F63">
        <v>32.42644628</v>
      </c>
      <c r="G63">
        <v>29.696682460000002</v>
      </c>
      <c r="H63">
        <v>60.777619530000003</v>
      </c>
      <c r="I63">
        <v>45.69479424</v>
      </c>
      <c r="J63">
        <v>38.894710330000002</v>
      </c>
      <c r="K63">
        <v>29.62853642</v>
      </c>
      <c r="L63">
        <v>27.916367739999998</v>
      </c>
      <c r="M63">
        <v>32.95263937</v>
      </c>
      <c r="N63">
        <v>34.927319130000001</v>
      </c>
      <c r="O63">
        <v>25.509735240000001</v>
      </c>
      <c r="P63">
        <v>35.490728859999997</v>
      </c>
      <c r="Q63">
        <v>35.141176469999998</v>
      </c>
      <c r="R63">
        <v>52.954439499999999</v>
      </c>
      <c r="S63">
        <v>23.5830515</v>
      </c>
      <c r="T63">
        <v>31.946514489999998</v>
      </c>
      <c r="U63">
        <v>84.058013770000002</v>
      </c>
      <c r="V63">
        <v>22.64481335</v>
      </c>
      <c r="W63">
        <v>36.599197320000002</v>
      </c>
      <c r="X63">
        <v>32.021268929999998</v>
      </c>
      <c r="Y63">
        <v>44.532039169999997</v>
      </c>
      <c r="Z63">
        <v>30.120310830000001</v>
      </c>
      <c r="AA63">
        <v>34.368952620000002</v>
      </c>
      <c r="AB63">
        <v>30.064780540000001</v>
      </c>
      <c r="AC63">
        <v>26.88236453</v>
      </c>
      <c r="AD63">
        <v>43.710223130000003</v>
      </c>
      <c r="AE63">
        <v>53.646862370000001</v>
      </c>
      <c r="AF63">
        <v>39.75246782</v>
      </c>
      <c r="AG63">
        <v>33.166838179999999</v>
      </c>
      <c r="AH63">
        <v>50.773954639999999</v>
      </c>
      <c r="AI63">
        <v>25.70334476</v>
      </c>
      <c r="AJ63">
        <v>42.840463880000001</v>
      </c>
      <c r="AK63">
        <v>40.283589310000004</v>
      </c>
      <c r="AL63">
        <v>39.986184110000003</v>
      </c>
      <c r="AM63">
        <v>31.302855310000002</v>
      </c>
      <c r="AN63">
        <v>47.122326319999999</v>
      </c>
      <c r="AO63">
        <v>55.758403000000001</v>
      </c>
      <c r="AP63">
        <v>31.870650529999999</v>
      </c>
      <c r="AQ63">
        <v>44.51164782</v>
      </c>
      <c r="AR63">
        <v>36.535143390000002</v>
      </c>
      <c r="AT63">
        <v>50.37411187</v>
      </c>
    </row>
    <row r="64" spans="1:46" x14ac:dyDescent="0.2">
      <c r="A64" s="10" t="s">
        <v>255</v>
      </c>
      <c r="B64">
        <v>180.0177444</v>
      </c>
      <c r="C64">
        <v>329.30591889999999</v>
      </c>
      <c r="D64">
        <v>232.1342272</v>
      </c>
      <c r="E64">
        <v>140.70177820000001</v>
      </c>
      <c r="F64">
        <v>160.53399450000001</v>
      </c>
      <c r="G64">
        <v>170.9512699</v>
      </c>
      <c r="H64">
        <v>234.787589</v>
      </c>
      <c r="I64">
        <v>188.930936</v>
      </c>
      <c r="J64">
        <v>189.4691436</v>
      </c>
      <c r="K64">
        <v>152.34228110000001</v>
      </c>
      <c r="L64">
        <v>117.39192370000001</v>
      </c>
      <c r="M64">
        <v>183.61963489999999</v>
      </c>
      <c r="N64">
        <v>170.02063910000001</v>
      </c>
      <c r="O64">
        <v>139.59905219999999</v>
      </c>
      <c r="P64">
        <v>168.47591840000001</v>
      </c>
      <c r="Q64">
        <v>207.47616099999999</v>
      </c>
      <c r="R64">
        <v>293.92074589999999</v>
      </c>
      <c r="S64">
        <v>111.4027442</v>
      </c>
      <c r="T64">
        <v>175.9304017</v>
      </c>
      <c r="U64">
        <v>446.20124550000003</v>
      </c>
      <c r="V64">
        <v>109.5103227</v>
      </c>
      <c r="W64">
        <v>168.76428089999999</v>
      </c>
      <c r="X64">
        <v>182.29091560000001</v>
      </c>
      <c r="Y64">
        <v>209.042089</v>
      </c>
      <c r="Z64">
        <v>168.23687029999999</v>
      </c>
      <c r="AA64">
        <v>177.96932670000001</v>
      </c>
      <c r="AB64">
        <v>169.28358009999999</v>
      </c>
      <c r="AC64">
        <v>146.44896550000001</v>
      </c>
      <c r="AD64">
        <v>218.69068110000001</v>
      </c>
      <c r="AE64">
        <v>266.82088240000002</v>
      </c>
      <c r="AF64">
        <v>199.80894660000001</v>
      </c>
      <c r="AG64">
        <v>188.10097759999999</v>
      </c>
      <c r="AH64">
        <v>216.79555619999999</v>
      </c>
      <c r="AI64">
        <v>124.7499114</v>
      </c>
      <c r="AJ64">
        <v>229.48660079999999</v>
      </c>
      <c r="AK64">
        <v>131.61930100000001</v>
      </c>
      <c r="AL64">
        <v>193.3428443</v>
      </c>
      <c r="AM64">
        <v>161.05154529999999</v>
      </c>
      <c r="AN64">
        <v>270.9119675</v>
      </c>
      <c r="AO64">
        <v>286.32110560000001</v>
      </c>
      <c r="AP64">
        <v>163.06894320000001</v>
      </c>
      <c r="AQ64">
        <v>239.16255570000001</v>
      </c>
      <c r="AR64">
        <v>193.77092149999999</v>
      </c>
      <c r="AT64">
        <v>139.5975972</v>
      </c>
    </row>
    <row r="65" spans="1:46" x14ac:dyDescent="0.2">
      <c r="A65" s="6" t="s">
        <v>312</v>
      </c>
      <c r="B65">
        <v>17.28552848</v>
      </c>
      <c r="C65">
        <v>21.285192439999999</v>
      </c>
      <c r="D65">
        <v>30.60557185</v>
      </c>
      <c r="E65">
        <v>21.377056889999999</v>
      </c>
      <c r="F65">
        <v>24.451485470000001</v>
      </c>
      <c r="G65">
        <v>38.026945859999998</v>
      </c>
      <c r="H65">
        <v>44.268314650000001</v>
      </c>
      <c r="I65">
        <v>41.558400319999997</v>
      </c>
      <c r="J65">
        <v>34.158135520000002</v>
      </c>
      <c r="K65">
        <v>52.716340389999999</v>
      </c>
      <c r="L65">
        <v>27.225664439999999</v>
      </c>
      <c r="M65">
        <v>22.999711250000001</v>
      </c>
      <c r="N65">
        <v>39.114755520000003</v>
      </c>
      <c r="O65">
        <v>25.460688699999999</v>
      </c>
      <c r="P65">
        <v>22.46869852</v>
      </c>
      <c r="Q65">
        <v>26.301236249999999</v>
      </c>
      <c r="R65">
        <v>41.984214680000001</v>
      </c>
      <c r="S65">
        <v>27.218758829999999</v>
      </c>
      <c r="T65">
        <v>17.410935859999999</v>
      </c>
      <c r="U65">
        <v>35.022018350000003</v>
      </c>
      <c r="V65">
        <v>22.664165870000001</v>
      </c>
      <c r="W65">
        <v>25.364196530000001</v>
      </c>
      <c r="X65">
        <v>30.406940970000001</v>
      </c>
      <c r="Y65">
        <v>19.676908009999998</v>
      </c>
      <c r="Z65">
        <v>23.388559789999999</v>
      </c>
      <c r="AA65">
        <v>17.420454549999999</v>
      </c>
      <c r="AB65">
        <v>23.728919579999999</v>
      </c>
      <c r="AC65">
        <v>17.067363619999998</v>
      </c>
      <c r="AD65">
        <v>20.702050660000001</v>
      </c>
      <c r="AE65">
        <v>37.904366539999998</v>
      </c>
      <c r="AF65">
        <v>30.769348350000001</v>
      </c>
      <c r="AG65">
        <v>28.11600778</v>
      </c>
      <c r="AH65">
        <v>20.737610759999999</v>
      </c>
      <c r="AI65">
        <v>16.316237869999998</v>
      </c>
      <c r="AJ65">
        <v>16.625956540000001</v>
      </c>
      <c r="AK65">
        <v>15.50291054</v>
      </c>
      <c r="AL65">
        <v>17.857292510000001</v>
      </c>
      <c r="AM65">
        <v>19.83814808</v>
      </c>
      <c r="AN65">
        <v>18.506804729999999</v>
      </c>
      <c r="AO65">
        <v>22.04405547</v>
      </c>
      <c r="AP65">
        <v>22.228132639999998</v>
      </c>
      <c r="AQ65">
        <v>32.852446980000003</v>
      </c>
      <c r="AR65">
        <v>18.790777110000001</v>
      </c>
      <c r="AT65">
        <v>28.943467439999999</v>
      </c>
    </row>
    <row r="66" spans="1:46" x14ac:dyDescent="0.2">
      <c r="A66" s="6" t="s">
        <v>313</v>
      </c>
      <c r="B66">
        <v>0.14202722600000001</v>
      </c>
      <c r="C66">
        <v>0.167498218</v>
      </c>
      <c r="D66">
        <v>0.84338779500000005</v>
      </c>
      <c r="E66">
        <v>0.20780441899999999</v>
      </c>
      <c r="F66">
        <v>0.36194551899999999</v>
      </c>
      <c r="G66">
        <v>0.59800340900000004</v>
      </c>
      <c r="H66">
        <v>0.61058847100000002</v>
      </c>
      <c r="I66">
        <v>0.93480202400000001</v>
      </c>
      <c r="J66">
        <v>0.46016400499999999</v>
      </c>
      <c r="K66">
        <v>0.77267279300000002</v>
      </c>
      <c r="L66">
        <v>0.45793249600000002</v>
      </c>
      <c r="M66">
        <v>0.45881758499999997</v>
      </c>
      <c r="N66">
        <v>0.44881003899999999</v>
      </c>
      <c r="O66">
        <v>0.77681884899999998</v>
      </c>
      <c r="P66">
        <v>0.36363636399999999</v>
      </c>
      <c r="Q66">
        <v>0.256663264</v>
      </c>
      <c r="R66">
        <v>1.183241252</v>
      </c>
      <c r="S66">
        <v>0.34852622700000002</v>
      </c>
      <c r="T66">
        <v>0.33165089399999997</v>
      </c>
      <c r="U66">
        <v>0.48733945000000001</v>
      </c>
      <c r="V66">
        <v>0.35377165500000002</v>
      </c>
      <c r="W66">
        <v>0.40124858099999999</v>
      </c>
      <c r="X66">
        <v>0.69477023599999999</v>
      </c>
      <c r="Y66">
        <v>0.31712530100000003</v>
      </c>
      <c r="Z66">
        <v>0.53683820800000004</v>
      </c>
      <c r="AA66">
        <v>0.44264434899999999</v>
      </c>
      <c r="AB66">
        <v>0.42664500399999999</v>
      </c>
      <c r="AC66">
        <v>0.33203268800000002</v>
      </c>
      <c r="AD66">
        <v>0.73453960600000001</v>
      </c>
      <c r="AE66">
        <v>1.200902009</v>
      </c>
      <c r="AF66">
        <v>0.64271922800000003</v>
      </c>
      <c r="AG66">
        <v>0.43321091699999997</v>
      </c>
      <c r="AH66">
        <v>0.27625533299999999</v>
      </c>
      <c r="AI66">
        <v>0.30489731399999997</v>
      </c>
      <c r="AJ66">
        <v>0.152586471</v>
      </c>
      <c r="AK66">
        <v>0.25398284300000001</v>
      </c>
      <c r="AL66">
        <v>0.26486704300000002</v>
      </c>
      <c r="AM66">
        <v>0.52200114799999997</v>
      </c>
      <c r="AN66">
        <v>0.39156804699999997</v>
      </c>
      <c r="AO66">
        <v>0.33054287199999999</v>
      </c>
      <c r="AP66">
        <v>0.27937172799999999</v>
      </c>
      <c r="AQ66">
        <v>0.96362153299999997</v>
      </c>
      <c r="AR66">
        <v>0.19264161699999999</v>
      </c>
      <c r="AT66">
        <v>0.708343371</v>
      </c>
    </row>
    <row r="67" spans="1:46" x14ac:dyDescent="0.2">
      <c r="A67" s="6" t="s">
        <v>314</v>
      </c>
      <c r="B67">
        <v>57.74603312</v>
      </c>
      <c r="C67">
        <v>70.832679970000001</v>
      </c>
      <c r="D67">
        <v>87.288926129999993</v>
      </c>
      <c r="E67">
        <v>54.636040029999997</v>
      </c>
      <c r="F67">
        <v>58.463912440000001</v>
      </c>
      <c r="G67">
        <v>94.884993100000003</v>
      </c>
      <c r="H67">
        <v>145.4067254</v>
      </c>
      <c r="I67">
        <v>94.351791210000002</v>
      </c>
      <c r="J67">
        <v>84.632369440000005</v>
      </c>
      <c r="K67">
        <v>130.62378480000001</v>
      </c>
      <c r="L67">
        <v>81.170634269999994</v>
      </c>
      <c r="M67">
        <v>53.028297119999998</v>
      </c>
      <c r="N67">
        <v>85.010558200000006</v>
      </c>
      <c r="O67">
        <v>68.165357729999997</v>
      </c>
      <c r="P67">
        <v>57.213868499999997</v>
      </c>
      <c r="Q67">
        <v>51.015311330000003</v>
      </c>
      <c r="R67">
        <v>97.13509603</v>
      </c>
      <c r="S67">
        <v>71.973443829999994</v>
      </c>
      <c r="T67">
        <v>38.606940059999999</v>
      </c>
      <c r="U67">
        <v>70.949969420000002</v>
      </c>
      <c r="V67">
        <v>41.970467880000001</v>
      </c>
      <c r="W67">
        <v>61.432787419999997</v>
      </c>
      <c r="X67">
        <v>71.573062870000001</v>
      </c>
      <c r="Y67">
        <v>46.589366820000002</v>
      </c>
      <c r="Z67">
        <v>63.960385039999998</v>
      </c>
      <c r="AA67">
        <v>51.901182429999999</v>
      </c>
      <c r="AB67">
        <v>51.98797725</v>
      </c>
      <c r="AC67">
        <v>36.678716039999998</v>
      </c>
      <c r="AD67">
        <v>41.232971450000001</v>
      </c>
      <c r="AE67">
        <v>81.73595736</v>
      </c>
      <c r="AF67">
        <v>57.325824619999999</v>
      </c>
      <c r="AG67">
        <v>54.283286529999998</v>
      </c>
      <c r="AH67">
        <v>35.522481130000003</v>
      </c>
      <c r="AI67">
        <v>39.729857819999999</v>
      </c>
      <c r="AJ67">
        <v>34.922711970000002</v>
      </c>
      <c r="AK67">
        <v>34.928538600000003</v>
      </c>
      <c r="AL67">
        <v>39.565995170000001</v>
      </c>
      <c r="AM67">
        <v>52.366749570000003</v>
      </c>
      <c r="AN67">
        <v>38.63690828</v>
      </c>
      <c r="AO67">
        <v>51.886690340000001</v>
      </c>
      <c r="AP67">
        <v>42.23176265</v>
      </c>
      <c r="AQ67">
        <v>84.128548120000005</v>
      </c>
      <c r="AR67">
        <v>35.853116989999997</v>
      </c>
      <c r="AT67">
        <v>39.713081189999997</v>
      </c>
    </row>
    <row r="68" spans="1:46" x14ac:dyDescent="0.2">
      <c r="A68" s="6" t="s">
        <v>315</v>
      </c>
      <c r="B68">
        <v>11.16465794</v>
      </c>
      <c r="C68">
        <v>15.299893089999999</v>
      </c>
      <c r="D68">
        <v>21.469068570000001</v>
      </c>
      <c r="E68">
        <v>13.947478</v>
      </c>
      <c r="F68">
        <v>15.71319233</v>
      </c>
      <c r="G68">
        <v>30.345264180000001</v>
      </c>
      <c r="H68">
        <v>30.29083267</v>
      </c>
      <c r="I68">
        <v>26.77810856</v>
      </c>
      <c r="J68">
        <v>18.409322400000001</v>
      </c>
      <c r="K68">
        <v>35.140897590000002</v>
      </c>
      <c r="L68">
        <v>16.33401272</v>
      </c>
      <c r="M68">
        <v>17.22926442</v>
      </c>
      <c r="N68">
        <v>25.966075289999999</v>
      </c>
      <c r="O68">
        <v>23.0095797</v>
      </c>
      <c r="P68">
        <v>13.56140482</v>
      </c>
      <c r="Q68">
        <v>16.18532381</v>
      </c>
      <c r="R68">
        <v>31.802025780000001</v>
      </c>
      <c r="S68">
        <v>19.174498539999998</v>
      </c>
      <c r="T68">
        <v>13.63785489</v>
      </c>
      <c r="U68">
        <v>25.465076450000002</v>
      </c>
      <c r="V68">
        <v>15.810326010000001</v>
      </c>
      <c r="W68">
        <v>15.882763089999999</v>
      </c>
      <c r="X68">
        <v>22.038454139999999</v>
      </c>
      <c r="Y68">
        <v>15.488111140000001</v>
      </c>
      <c r="Z68">
        <v>17.260921880000001</v>
      </c>
      <c r="AA68">
        <v>12.80359337</v>
      </c>
      <c r="AB68">
        <v>16.49829407</v>
      </c>
      <c r="AC68">
        <v>11.2324965</v>
      </c>
      <c r="AD68">
        <v>13.702131079999999</v>
      </c>
      <c r="AE68">
        <v>27.246412459999998</v>
      </c>
      <c r="AF68">
        <v>17.497264680000001</v>
      </c>
      <c r="AG68">
        <v>21.769496650000001</v>
      </c>
      <c r="AH68">
        <v>12.50984575</v>
      </c>
      <c r="AI68">
        <v>13.83508237</v>
      </c>
      <c r="AJ68">
        <v>11.171870220000001</v>
      </c>
      <c r="AK68">
        <v>11.088618260000001</v>
      </c>
      <c r="AL68">
        <v>11.88879936</v>
      </c>
      <c r="AM68">
        <v>13.60646642</v>
      </c>
      <c r="AN68">
        <v>14.561316570000001</v>
      </c>
      <c r="AO68">
        <v>15.98317267</v>
      </c>
      <c r="AP68">
        <v>14.49019197</v>
      </c>
      <c r="AQ68">
        <v>25.116721040000002</v>
      </c>
      <c r="AR68">
        <v>12.028536860000001</v>
      </c>
      <c r="AT68">
        <v>17.904520999999999</v>
      </c>
    </row>
    <row r="69" spans="1:46" x14ac:dyDescent="0.2">
      <c r="A69" s="6" t="s">
        <v>316</v>
      </c>
      <c r="B69">
        <v>1.5511141939999999</v>
      </c>
      <c r="C69">
        <v>1.40992516</v>
      </c>
      <c r="D69">
        <v>2.964949029</v>
      </c>
      <c r="E69">
        <v>1.170327087</v>
      </c>
      <c r="F69">
        <v>1.784791375</v>
      </c>
      <c r="G69">
        <v>2.2124015909999999</v>
      </c>
      <c r="H69">
        <v>2.027522018</v>
      </c>
      <c r="I69">
        <v>3.1608613669999999</v>
      </c>
      <c r="J69">
        <v>1.809408718</v>
      </c>
      <c r="K69">
        <v>2.5075243039999999</v>
      </c>
      <c r="L69">
        <v>1.4788847220000001</v>
      </c>
      <c r="M69">
        <v>2.0660506750000001</v>
      </c>
      <c r="N69">
        <v>2.6887061879999998</v>
      </c>
      <c r="O69">
        <v>1.864417019</v>
      </c>
      <c r="P69">
        <v>1.8381758269999999</v>
      </c>
      <c r="Q69">
        <v>1.35170693</v>
      </c>
      <c r="R69">
        <v>2.7605893190000002</v>
      </c>
      <c r="S69">
        <v>1.0758075149999999</v>
      </c>
      <c r="T69">
        <v>1.7474938659999999</v>
      </c>
      <c r="U69">
        <v>1.855657492</v>
      </c>
      <c r="V69">
        <v>1.4463238300000001</v>
      </c>
      <c r="W69">
        <v>1.290578888</v>
      </c>
      <c r="X69">
        <v>3.1442991729999998</v>
      </c>
      <c r="Y69">
        <v>1.260842461</v>
      </c>
      <c r="Z69">
        <v>1.6329137359999999</v>
      </c>
      <c r="AA69">
        <v>1.3471283780000001</v>
      </c>
      <c r="AB69">
        <v>1.031762794</v>
      </c>
      <c r="AC69">
        <v>1.139144519</v>
      </c>
      <c r="AD69">
        <v>3.4386811420000001</v>
      </c>
      <c r="AE69">
        <v>3.0881508819999999</v>
      </c>
      <c r="AF69">
        <v>2.7684633949999999</v>
      </c>
      <c r="AG69">
        <v>1.8871606540000001</v>
      </c>
      <c r="AH69">
        <v>1.741467017</v>
      </c>
      <c r="AI69">
        <v>1.4019972919999999</v>
      </c>
      <c r="AJ69">
        <v>2.2828282830000002</v>
      </c>
      <c r="AK69">
        <v>1.700367647</v>
      </c>
      <c r="AL69">
        <v>1.063255439</v>
      </c>
      <c r="AM69">
        <v>2.3023722979999999</v>
      </c>
      <c r="AN69">
        <v>1.329659763</v>
      </c>
      <c r="AO69">
        <v>1.6101809570000001</v>
      </c>
      <c r="AP69">
        <v>1.6672251309999999</v>
      </c>
      <c r="AQ69">
        <v>2.0925774879999999</v>
      </c>
      <c r="AR69">
        <v>1.557856533</v>
      </c>
      <c r="AT69">
        <v>4.4160443269999998</v>
      </c>
    </row>
    <row r="70" spans="1:46" x14ac:dyDescent="0.2">
      <c r="A70" s="6" t="s">
        <v>317</v>
      </c>
      <c r="B70">
        <v>26.14011966</v>
      </c>
      <c r="C70">
        <v>21.792409119999999</v>
      </c>
      <c r="D70">
        <v>37.831517939999998</v>
      </c>
      <c r="E70">
        <v>24.931224390000001</v>
      </c>
      <c r="F70">
        <v>38.719693849999999</v>
      </c>
      <c r="G70">
        <v>24.227497769999999</v>
      </c>
      <c r="H70">
        <v>39.172037629999998</v>
      </c>
      <c r="I70">
        <v>48.344050809999999</v>
      </c>
      <c r="J70">
        <v>44.78023306</v>
      </c>
      <c r="K70">
        <v>72.713410569999994</v>
      </c>
      <c r="L70">
        <v>31.2772705</v>
      </c>
      <c r="M70">
        <v>25.171009890000001</v>
      </c>
      <c r="N70">
        <v>36.291389010000003</v>
      </c>
      <c r="O70">
        <v>32.694139980000003</v>
      </c>
      <c r="P70">
        <v>24.355099599999999</v>
      </c>
      <c r="Q70">
        <v>34.9106272</v>
      </c>
      <c r="R70">
        <v>48.391475929999999</v>
      </c>
      <c r="S70">
        <v>26.801111219999999</v>
      </c>
      <c r="T70">
        <v>23.37160883</v>
      </c>
      <c r="U70">
        <v>40.456269110000001</v>
      </c>
      <c r="V70">
        <v>21.884599649999998</v>
      </c>
      <c r="W70">
        <v>29.978352520000001</v>
      </c>
      <c r="X70">
        <v>31.729090559999999</v>
      </c>
      <c r="Y70">
        <v>23.975420790000001</v>
      </c>
      <c r="Z70">
        <v>31.93215476</v>
      </c>
      <c r="AA70">
        <v>19.33668612</v>
      </c>
      <c r="AB70">
        <v>23.522502029999998</v>
      </c>
      <c r="AC70">
        <v>22.84399617</v>
      </c>
      <c r="AD70">
        <v>26.543787699999999</v>
      </c>
      <c r="AE70">
        <v>50.172816730000001</v>
      </c>
      <c r="AF70">
        <v>26.581898630000001</v>
      </c>
      <c r="AG70">
        <v>32.802621160000001</v>
      </c>
      <c r="AH70">
        <v>13.63587135</v>
      </c>
      <c r="AI70">
        <v>13.215752650000001</v>
      </c>
      <c r="AJ70">
        <v>19.3006581</v>
      </c>
      <c r="AK70">
        <v>17.995021449999999</v>
      </c>
      <c r="AL70">
        <v>16.58452861</v>
      </c>
      <c r="AM70">
        <v>22.001913139999999</v>
      </c>
      <c r="AN70">
        <v>22.46176036</v>
      </c>
      <c r="AO70">
        <v>25.352105529999999</v>
      </c>
      <c r="AP70">
        <v>24.026736469999999</v>
      </c>
      <c r="AQ70">
        <v>29.554893960000001</v>
      </c>
      <c r="AR70">
        <v>24.980927980000001</v>
      </c>
      <c r="AT70">
        <v>29.245884530000001</v>
      </c>
    </row>
    <row r="72" spans="1:46" s="17" customFormat="1" x14ac:dyDescent="0.2">
      <c r="A72" s="17" t="s">
        <v>431</v>
      </c>
    </row>
    <row r="73" spans="1:46" x14ac:dyDescent="0.2">
      <c r="A73" t="s">
        <v>192</v>
      </c>
      <c r="B73" t="s">
        <v>193</v>
      </c>
      <c r="C73" t="s">
        <v>194</v>
      </c>
      <c r="D73" t="s">
        <v>195</v>
      </c>
      <c r="E73" t="s">
        <v>196</v>
      </c>
      <c r="F73" t="s">
        <v>197</v>
      </c>
      <c r="G73" t="s">
        <v>198</v>
      </c>
      <c r="H73" t="s">
        <v>199</v>
      </c>
      <c r="I73" t="s">
        <v>200</v>
      </c>
      <c r="J73" t="s">
        <v>201</v>
      </c>
      <c r="K73" t="s">
        <v>202</v>
      </c>
      <c r="L73" t="s">
        <v>203</v>
      </c>
      <c r="M73" t="s">
        <v>204</v>
      </c>
      <c r="N73" t="s">
        <v>205</v>
      </c>
      <c r="O73" t="s">
        <v>206</v>
      </c>
      <c r="P73" t="s">
        <v>207</v>
      </c>
      <c r="Q73" t="s">
        <v>208</v>
      </c>
      <c r="R73" t="s">
        <v>209</v>
      </c>
      <c r="S73" t="s">
        <v>210</v>
      </c>
      <c r="T73" t="s">
        <v>211</v>
      </c>
      <c r="U73" t="s">
        <v>212</v>
      </c>
      <c r="V73" t="s">
        <v>213</v>
      </c>
      <c r="W73" t="s">
        <v>214</v>
      </c>
      <c r="X73" t="s">
        <v>215</v>
      </c>
      <c r="Y73" t="s">
        <v>216</v>
      </c>
      <c r="Z73" t="s">
        <v>217</v>
      </c>
      <c r="AA73" t="s">
        <v>218</v>
      </c>
      <c r="AB73" t="s">
        <v>219</v>
      </c>
      <c r="AC73" t="s">
        <v>220</v>
      </c>
      <c r="AD73" t="s">
        <v>221</v>
      </c>
      <c r="AE73" t="s">
        <v>222</v>
      </c>
      <c r="AF73" t="s">
        <v>223</v>
      </c>
      <c r="AG73" t="s">
        <v>224</v>
      </c>
      <c r="AH73" t="s">
        <v>225</v>
      </c>
      <c r="AI73" t="s">
        <v>226</v>
      </c>
      <c r="AJ73" t="s">
        <v>227</v>
      </c>
      <c r="AK73" t="s">
        <v>228</v>
      </c>
      <c r="AL73" t="s">
        <v>229</v>
      </c>
      <c r="AM73" t="s">
        <v>230</v>
      </c>
      <c r="AN73" t="s">
        <v>231</v>
      </c>
      <c r="AO73" t="s">
        <v>232</v>
      </c>
      <c r="AP73" t="s">
        <v>233</v>
      </c>
      <c r="AQ73" t="s">
        <v>234</v>
      </c>
      <c r="AR73" t="s">
        <v>236</v>
      </c>
      <c r="AT73" t="s">
        <v>235</v>
      </c>
    </row>
    <row r="74" spans="1:46" x14ac:dyDescent="0.2">
      <c r="A74" t="s">
        <v>237</v>
      </c>
      <c r="B74" t="s">
        <v>238</v>
      </c>
      <c r="C74" t="s">
        <v>238</v>
      </c>
      <c r="D74" t="s">
        <v>238</v>
      </c>
      <c r="E74" t="s">
        <v>238</v>
      </c>
      <c r="F74" t="s">
        <v>238</v>
      </c>
      <c r="G74" t="s">
        <v>238</v>
      </c>
      <c r="H74" t="s">
        <v>238</v>
      </c>
      <c r="I74" t="s">
        <v>238</v>
      </c>
      <c r="J74" t="s">
        <v>238</v>
      </c>
      <c r="K74" t="s">
        <v>238</v>
      </c>
      <c r="L74" t="s">
        <v>238</v>
      </c>
      <c r="M74" t="s">
        <v>239</v>
      </c>
      <c r="N74" t="s">
        <v>239</v>
      </c>
      <c r="O74" t="s">
        <v>239</v>
      </c>
      <c r="P74" t="s">
        <v>239</v>
      </c>
      <c r="Q74" t="s">
        <v>239</v>
      </c>
      <c r="R74" t="s">
        <v>239</v>
      </c>
      <c r="S74" t="s">
        <v>239</v>
      </c>
      <c r="T74" t="s">
        <v>239</v>
      </c>
      <c r="U74" t="s">
        <v>239</v>
      </c>
      <c r="V74" t="s">
        <v>239</v>
      </c>
      <c r="W74" t="s">
        <v>239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T74" t="s">
        <v>3</v>
      </c>
    </row>
    <row r="75" spans="1:46" x14ac:dyDescent="0.2">
      <c r="A75" s="11" t="s">
        <v>296</v>
      </c>
      <c r="B75">
        <v>0.12520609099999999</v>
      </c>
      <c r="C75">
        <v>9.9778743000000003E-2</v>
      </c>
      <c r="D75">
        <v>8.7832930000000004E-2</v>
      </c>
      <c r="E75">
        <v>7.4432226000000004E-2</v>
      </c>
      <c r="F75">
        <v>0.11312243800000001</v>
      </c>
      <c r="G75">
        <v>0.12696550600000001</v>
      </c>
      <c r="H75">
        <v>0.114715812</v>
      </c>
      <c r="I75">
        <v>0.19666330900000001</v>
      </c>
      <c r="J75">
        <v>0.12837390300000001</v>
      </c>
      <c r="K75">
        <v>0.181225001</v>
      </c>
      <c r="L75">
        <v>0.159728549</v>
      </c>
      <c r="M75">
        <v>0.195566511</v>
      </c>
      <c r="N75">
        <v>0.22176231499999999</v>
      </c>
      <c r="O75">
        <v>0.192596558</v>
      </c>
      <c r="P75">
        <v>0.23582993999999999</v>
      </c>
      <c r="Q75">
        <v>0.18370998599999999</v>
      </c>
      <c r="R75">
        <v>0.29299154900000002</v>
      </c>
      <c r="S75">
        <v>0.158829787</v>
      </c>
      <c r="T75">
        <v>0.16093337899999999</v>
      </c>
      <c r="U75">
        <v>0.27740543099999998</v>
      </c>
      <c r="V75">
        <v>0.20951054899999999</v>
      </c>
      <c r="W75">
        <v>0.17448989400000001</v>
      </c>
      <c r="X75">
        <v>0.25715217299999998</v>
      </c>
      <c r="Y75">
        <v>0.26642063999999999</v>
      </c>
      <c r="Z75">
        <v>0.18875038099999999</v>
      </c>
      <c r="AA75">
        <v>0.23037998400000001</v>
      </c>
      <c r="AB75">
        <v>0.20000300700000001</v>
      </c>
      <c r="AC75">
        <v>0.19164106</v>
      </c>
      <c r="AD75">
        <v>0.28128181400000002</v>
      </c>
      <c r="AE75">
        <v>0.27194026999999998</v>
      </c>
      <c r="AF75">
        <v>0.19236129699999999</v>
      </c>
      <c r="AG75">
        <v>0.18271182499999999</v>
      </c>
      <c r="AH75">
        <v>0.26857522</v>
      </c>
      <c r="AI75">
        <v>0.147080657</v>
      </c>
      <c r="AJ75">
        <v>0.26467831800000002</v>
      </c>
      <c r="AK75">
        <v>0.40294227500000002</v>
      </c>
      <c r="AL75">
        <v>0.25984138200000001</v>
      </c>
      <c r="AM75">
        <v>0.31507806599999999</v>
      </c>
      <c r="AN75">
        <v>0.25279288</v>
      </c>
      <c r="AO75">
        <v>0.25265242599999999</v>
      </c>
      <c r="AP75">
        <v>0.18858027799999999</v>
      </c>
      <c r="AQ75">
        <v>0.146016373</v>
      </c>
      <c r="AR75">
        <v>0.18380443199999999</v>
      </c>
      <c r="AT75">
        <v>0.28939968100000002</v>
      </c>
    </row>
    <row r="76" spans="1:46" x14ac:dyDescent="0.2">
      <c r="A76" s="11" t="s">
        <v>297</v>
      </c>
      <c r="B76">
        <v>0.282193264</v>
      </c>
      <c r="C76">
        <v>0.24971522600000001</v>
      </c>
      <c r="D76">
        <v>0.24160538200000001</v>
      </c>
      <c r="E76">
        <v>0.181824395</v>
      </c>
      <c r="F76">
        <v>0.24885544300000001</v>
      </c>
      <c r="G76">
        <v>0.20624337100000001</v>
      </c>
      <c r="H76">
        <v>0.24071891000000001</v>
      </c>
      <c r="I76">
        <v>0.43745352799999998</v>
      </c>
      <c r="J76">
        <v>0.29561008599999999</v>
      </c>
      <c r="K76">
        <v>0.287780757</v>
      </c>
      <c r="L76">
        <v>0.31956298</v>
      </c>
      <c r="M76">
        <v>0.29508203199999999</v>
      </c>
      <c r="N76">
        <v>0.33124567100000002</v>
      </c>
      <c r="O76">
        <v>0.32990366799999998</v>
      </c>
      <c r="P76">
        <v>0.326421287</v>
      </c>
      <c r="Q76">
        <v>0.256091815</v>
      </c>
      <c r="R76">
        <v>0.49570591000000003</v>
      </c>
      <c r="S76">
        <v>0.22124755600000001</v>
      </c>
      <c r="T76">
        <v>0.26308025699999998</v>
      </c>
      <c r="U76">
        <v>0.44703255200000003</v>
      </c>
      <c r="V76">
        <v>0.25858968700000001</v>
      </c>
      <c r="W76">
        <v>0.26760731100000001</v>
      </c>
      <c r="X76">
        <v>0.40219234700000001</v>
      </c>
      <c r="Y76">
        <v>0.34738911099999997</v>
      </c>
      <c r="Z76">
        <v>0.29059458500000002</v>
      </c>
      <c r="AA76">
        <v>0.27138683899999999</v>
      </c>
      <c r="AB76">
        <v>0.31348884999999999</v>
      </c>
      <c r="AC76">
        <v>0.29728803500000001</v>
      </c>
      <c r="AD76">
        <v>0.29640237899999999</v>
      </c>
      <c r="AE76">
        <v>0.41092854099999998</v>
      </c>
      <c r="AF76">
        <v>0.34948966799999998</v>
      </c>
      <c r="AG76">
        <v>0.30250670000000002</v>
      </c>
      <c r="AH76">
        <v>0.28996113400000001</v>
      </c>
      <c r="AI76">
        <v>0.184173112</v>
      </c>
      <c r="AJ76">
        <v>0.28894684100000001</v>
      </c>
      <c r="AK76">
        <v>0.25957063400000002</v>
      </c>
      <c r="AL76">
        <v>0.29584407299999999</v>
      </c>
      <c r="AM76">
        <v>0.36767706100000003</v>
      </c>
      <c r="AN76">
        <v>0.34732616599999999</v>
      </c>
      <c r="AO76">
        <v>0.41346489400000003</v>
      </c>
      <c r="AP76">
        <v>0.26964365899999998</v>
      </c>
      <c r="AQ76">
        <v>0.26986713800000001</v>
      </c>
      <c r="AR76">
        <v>0.30755362400000003</v>
      </c>
      <c r="AT76">
        <v>0.55001129599999998</v>
      </c>
    </row>
    <row r="77" spans="1:46" x14ac:dyDescent="0.2">
      <c r="A77" s="11" t="s">
        <v>298</v>
      </c>
      <c r="B77">
        <v>3.3221454999999997E-2</v>
      </c>
      <c r="C77">
        <v>2.1633454999999999E-2</v>
      </c>
      <c r="D77">
        <v>1.9497178E-2</v>
      </c>
      <c r="E77">
        <v>2.1239646000000001E-2</v>
      </c>
      <c r="F77">
        <v>2.3582762E-2</v>
      </c>
      <c r="G77">
        <v>2.6713054999999999E-2</v>
      </c>
      <c r="H77">
        <v>2.5567428E-2</v>
      </c>
      <c r="I77">
        <v>3.4995009000000001E-2</v>
      </c>
      <c r="J77">
        <v>2.0452188999999999E-2</v>
      </c>
      <c r="K77">
        <v>2.2660541999999999E-2</v>
      </c>
      <c r="L77">
        <v>3.2806058999999999E-2</v>
      </c>
      <c r="M77">
        <v>2.737713E-2</v>
      </c>
      <c r="N77">
        <v>3.2268378E-2</v>
      </c>
      <c r="O77">
        <v>2.3576631000000001E-2</v>
      </c>
      <c r="P77">
        <v>3.2466492E-2</v>
      </c>
      <c r="Q77">
        <v>2.8790212999999999E-2</v>
      </c>
      <c r="R77">
        <v>2.9173012000000002E-2</v>
      </c>
      <c r="S77">
        <v>2.5530179E-2</v>
      </c>
      <c r="T77">
        <v>1.7923199000000001E-2</v>
      </c>
      <c r="U77">
        <v>3.3538156999999999E-2</v>
      </c>
      <c r="V77">
        <v>2.5879816999999999E-2</v>
      </c>
      <c r="W77">
        <v>2.0746632000000001E-2</v>
      </c>
      <c r="X77">
        <v>3.1692232000000001E-2</v>
      </c>
      <c r="Y77">
        <v>2.9257259000000001E-2</v>
      </c>
      <c r="Z77">
        <v>2.9047384999999998E-2</v>
      </c>
      <c r="AA77">
        <v>2.9887375000000001E-2</v>
      </c>
      <c r="AB77">
        <v>2.2919294E-2</v>
      </c>
      <c r="AC77">
        <v>2.1584676000000001E-2</v>
      </c>
      <c r="AD77">
        <v>2.8337533000000002E-2</v>
      </c>
      <c r="AE77">
        <v>2.5179093999999999E-2</v>
      </c>
      <c r="AF77">
        <v>2.1222793E-2</v>
      </c>
      <c r="AG77">
        <v>2.1090134999999999E-2</v>
      </c>
      <c r="AH77">
        <v>3.1628063999999997E-2</v>
      </c>
      <c r="AI77">
        <v>1.6470807000000001E-2</v>
      </c>
      <c r="AJ77">
        <v>3.2014892000000003E-2</v>
      </c>
      <c r="AK77">
        <v>7.1959392999999996E-2</v>
      </c>
      <c r="AL77">
        <v>2.7268337E-2</v>
      </c>
      <c r="AM77">
        <v>2.3337726E-2</v>
      </c>
      <c r="AN77">
        <v>1.9151525999999999E-2</v>
      </c>
      <c r="AO77">
        <v>2.2056395999999999E-2</v>
      </c>
      <c r="AP77">
        <v>2.2504657000000001E-2</v>
      </c>
      <c r="AQ77">
        <v>1.9505396000000001E-2</v>
      </c>
      <c r="AR77">
        <v>1.7900711E-2</v>
      </c>
      <c r="AT77">
        <v>2.4567114000000001E-2</v>
      </c>
    </row>
    <row r="78" spans="1:46" x14ac:dyDescent="0.2">
      <c r="A78" s="11" t="s">
        <v>299</v>
      </c>
      <c r="B78">
        <v>0.449362702</v>
      </c>
      <c r="C78">
        <v>0.36942581099999999</v>
      </c>
      <c r="D78">
        <v>0.385654991</v>
      </c>
      <c r="E78">
        <v>0.25347679400000001</v>
      </c>
      <c r="F78">
        <v>0.30923583799999999</v>
      </c>
      <c r="G78">
        <v>0.30896304499999999</v>
      </c>
      <c r="H78">
        <v>0.34703778400000002</v>
      </c>
      <c r="I78">
        <v>0.55798052200000003</v>
      </c>
      <c r="J78">
        <v>0.320542416</v>
      </c>
      <c r="K78">
        <v>0.35529646999999998</v>
      </c>
      <c r="L78">
        <v>0.32481520000000003</v>
      </c>
      <c r="M78">
        <v>0.55556040299999998</v>
      </c>
      <c r="N78">
        <v>0.55533733699999999</v>
      </c>
      <c r="O78">
        <v>0.43129662200000002</v>
      </c>
      <c r="P78">
        <v>0.43394623300000001</v>
      </c>
      <c r="Q78">
        <v>0.37474920699999997</v>
      </c>
      <c r="R78">
        <v>0.519738433</v>
      </c>
      <c r="S78">
        <v>0.28799633699999999</v>
      </c>
      <c r="T78">
        <v>0.30736589800000003</v>
      </c>
      <c r="U78">
        <v>0.50389365100000005</v>
      </c>
      <c r="V78">
        <v>0.36114658199999999</v>
      </c>
      <c r="W78">
        <v>0.305596019</v>
      </c>
      <c r="X78">
        <v>0.662048937</v>
      </c>
      <c r="Y78">
        <v>0.501593179</v>
      </c>
      <c r="Z78">
        <v>0.38768627900000002</v>
      </c>
      <c r="AA78">
        <v>0.46766186900000001</v>
      </c>
      <c r="AB78">
        <v>0.40047432599999999</v>
      </c>
      <c r="AC78">
        <v>0.371312331</v>
      </c>
      <c r="AD78">
        <v>0.47214057500000001</v>
      </c>
      <c r="AE78">
        <v>0.52029920100000004</v>
      </c>
      <c r="AF78">
        <v>0.39646272900000001</v>
      </c>
      <c r="AG78">
        <v>0.33312597300000002</v>
      </c>
      <c r="AH78">
        <v>0.42431194100000003</v>
      </c>
      <c r="AI78">
        <v>0.19687253499999999</v>
      </c>
      <c r="AJ78">
        <v>0.63393904599999995</v>
      </c>
      <c r="AK78">
        <v>0.72635742400000003</v>
      </c>
      <c r="AL78">
        <v>0.442026009</v>
      </c>
      <c r="AM78">
        <v>0.51034157700000005</v>
      </c>
      <c r="AN78">
        <v>0.43174531700000002</v>
      </c>
      <c r="AO78">
        <v>0.49207572999999999</v>
      </c>
      <c r="AP78">
        <v>0.33997576699999998</v>
      </c>
      <c r="AQ78">
        <v>0.30889705299999998</v>
      </c>
      <c r="AR78">
        <v>0.36377247400000001</v>
      </c>
      <c r="AT78">
        <v>0.82672975400000004</v>
      </c>
    </row>
    <row r="79" spans="1:46" x14ac:dyDescent="0.2">
      <c r="A79" s="11" t="s">
        <v>300</v>
      </c>
      <c r="B79">
        <v>0.16803456899999999</v>
      </c>
      <c r="C79">
        <v>0.14275033200000001</v>
      </c>
      <c r="D79">
        <v>0.13714964599999999</v>
      </c>
      <c r="E79">
        <v>0.110957905</v>
      </c>
      <c r="F79">
        <v>0.12943223500000001</v>
      </c>
      <c r="G79">
        <v>0.126509398</v>
      </c>
      <c r="H79">
        <v>0.13506189599999999</v>
      </c>
      <c r="I79">
        <v>0.23926444499999999</v>
      </c>
      <c r="J79">
        <v>0.14517622999999999</v>
      </c>
      <c r="K79">
        <v>0.17992395899999999</v>
      </c>
      <c r="L79">
        <v>0.16652467000000001</v>
      </c>
      <c r="M79">
        <v>0.18374506400000001</v>
      </c>
      <c r="N79">
        <v>0.19685499400000001</v>
      </c>
      <c r="O79">
        <v>0.19278658000000001</v>
      </c>
      <c r="P79">
        <v>0.167138325</v>
      </c>
      <c r="Q79">
        <v>0.158379257</v>
      </c>
      <c r="R79">
        <v>0.28098835999999999</v>
      </c>
      <c r="S79">
        <v>0.12792683299999999</v>
      </c>
      <c r="T79">
        <v>9.7742393999999996E-2</v>
      </c>
      <c r="U79">
        <v>0.23817217199999999</v>
      </c>
      <c r="V79">
        <v>0.155537644</v>
      </c>
      <c r="W79">
        <v>0.14234282100000001</v>
      </c>
      <c r="X79">
        <v>0.26250287500000002</v>
      </c>
      <c r="Y79">
        <v>0.21279457399999999</v>
      </c>
      <c r="Z79">
        <v>0.15580110799999999</v>
      </c>
      <c r="AA79">
        <v>0.148017603</v>
      </c>
      <c r="AB79">
        <v>0.19961203299999999</v>
      </c>
      <c r="AC79">
        <v>0.168595579</v>
      </c>
      <c r="AD79">
        <v>0.18389583700000001</v>
      </c>
      <c r="AE79">
        <v>0.21902182100000001</v>
      </c>
      <c r="AF79">
        <v>0.17806950199999999</v>
      </c>
      <c r="AG79">
        <v>0.17499035600000001</v>
      </c>
      <c r="AH79">
        <v>0.18282933600000001</v>
      </c>
      <c r="AI79">
        <v>0.10349267299999999</v>
      </c>
      <c r="AJ79">
        <v>0.20331644099999999</v>
      </c>
      <c r="AK79">
        <v>0.19767957999999999</v>
      </c>
      <c r="AL79">
        <v>0.15416021599999999</v>
      </c>
      <c r="AM79">
        <v>0.20563088299999999</v>
      </c>
      <c r="AN79">
        <v>0.19901859</v>
      </c>
      <c r="AO79">
        <v>0.212863677</v>
      </c>
      <c r="AP79">
        <v>0.14544522900000001</v>
      </c>
      <c r="AQ79">
        <v>0.151972106</v>
      </c>
      <c r="AR79">
        <v>0.18688306099999999</v>
      </c>
      <c r="AT79">
        <v>0.385208669</v>
      </c>
    </row>
    <row r="80" spans="1:46" x14ac:dyDescent="0.2">
      <c r="A80" s="11" t="s">
        <v>301</v>
      </c>
      <c r="B80">
        <v>1.104714733</v>
      </c>
      <c r="C80">
        <v>0.94898676699999995</v>
      </c>
      <c r="D80">
        <v>0.81935226400000005</v>
      </c>
      <c r="E80">
        <v>0.80528348000000005</v>
      </c>
      <c r="F80">
        <v>0.98879041300000003</v>
      </c>
      <c r="G80">
        <v>1.03320039</v>
      </c>
      <c r="H80">
        <v>0.96938727800000002</v>
      </c>
      <c r="I80">
        <v>1.3238095670000001</v>
      </c>
      <c r="J80">
        <v>1.3131323070000001</v>
      </c>
      <c r="K80">
        <v>1.159535845</v>
      </c>
      <c r="L80">
        <v>1.151937633</v>
      </c>
      <c r="M80">
        <v>0.90641007600000001</v>
      </c>
      <c r="N80">
        <v>1.0186576540000001</v>
      </c>
      <c r="O80">
        <v>1.132118583</v>
      </c>
      <c r="P80">
        <v>1.180655784</v>
      </c>
      <c r="Q80">
        <v>1.0582580290000001</v>
      </c>
      <c r="R80">
        <v>1.908788178</v>
      </c>
      <c r="S80">
        <v>0.85765045600000001</v>
      </c>
      <c r="T80">
        <v>1.0980495509999999</v>
      </c>
      <c r="U80">
        <v>1.656522391</v>
      </c>
      <c r="V80">
        <v>1.0108895149999999</v>
      </c>
      <c r="W80">
        <v>1.1598741079999999</v>
      </c>
      <c r="X80">
        <v>1.308958193</v>
      </c>
      <c r="Y80">
        <v>1.16691911</v>
      </c>
      <c r="Z80">
        <v>1.109236388</v>
      </c>
      <c r="AA80">
        <v>1.0555527</v>
      </c>
      <c r="AB80">
        <v>1.116888613</v>
      </c>
      <c r="AC80">
        <v>1.11353685</v>
      </c>
      <c r="AD80">
        <v>1.089773799</v>
      </c>
      <c r="AE80">
        <v>1.466074498</v>
      </c>
      <c r="AF80">
        <v>1.2937370640000001</v>
      </c>
      <c r="AG80">
        <v>1.163118318</v>
      </c>
      <c r="AH80">
        <v>1.1737521200000001</v>
      </c>
      <c r="AI80">
        <v>0.79528809</v>
      </c>
      <c r="AJ80">
        <v>0.97880900699999995</v>
      </c>
      <c r="AK80">
        <v>0.84894416500000003</v>
      </c>
      <c r="AL80">
        <v>0.968637576</v>
      </c>
      <c r="AM80">
        <v>1.408365656</v>
      </c>
      <c r="AN80">
        <v>1.301340728</v>
      </c>
      <c r="AO80">
        <v>1.4902626489999999</v>
      </c>
      <c r="AP80">
        <v>0.96201388099999996</v>
      </c>
      <c r="AQ80">
        <v>1.0266382510000001</v>
      </c>
      <c r="AR80">
        <v>1.237274113</v>
      </c>
      <c r="AT80">
        <v>1.342339744</v>
      </c>
    </row>
    <row r="81" spans="1:46" x14ac:dyDescent="0.2">
      <c r="A81" s="11" t="s">
        <v>302</v>
      </c>
      <c r="B81">
        <v>0.65943309100000003</v>
      </c>
      <c r="C81">
        <v>0.66089383899999998</v>
      </c>
      <c r="D81">
        <v>0.57399530300000001</v>
      </c>
      <c r="E81">
        <v>0.60706554400000001</v>
      </c>
      <c r="F81">
        <v>0.58750285499999999</v>
      </c>
      <c r="G81">
        <v>0.68884763900000001</v>
      </c>
      <c r="H81">
        <v>0.58907818599999995</v>
      </c>
      <c r="I81">
        <v>0.89855085599999995</v>
      </c>
      <c r="J81">
        <v>0.63152224000000001</v>
      </c>
      <c r="K81">
        <v>0.73211507200000003</v>
      </c>
      <c r="L81">
        <v>0.66603958500000005</v>
      </c>
      <c r="M81">
        <v>0.66629648200000002</v>
      </c>
      <c r="N81">
        <v>0.63742416300000004</v>
      </c>
      <c r="O81">
        <v>0.85641984699999996</v>
      </c>
      <c r="P81">
        <v>0.70032383099999995</v>
      </c>
      <c r="Q81">
        <v>0.67859884299999995</v>
      </c>
      <c r="R81">
        <v>1.2959457780000001</v>
      </c>
      <c r="S81">
        <v>0.56142799399999999</v>
      </c>
      <c r="T81">
        <v>0.61578788699999998</v>
      </c>
      <c r="U81">
        <v>0.97872130000000002</v>
      </c>
      <c r="V81">
        <v>0.66690369199999999</v>
      </c>
      <c r="W81">
        <v>0.60004253100000005</v>
      </c>
      <c r="X81">
        <v>1.0414205519999999</v>
      </c>
      <c r="Y81">
        <v>0.74978977099999999</v>
      </c>
      <c r="Z81">
        <v>0.70502333699999997</v>
      </c>
      <c r="AA81">
        <v>0.672486048</v>
      </c>
      <c r="AB81">
        <v>0.78159968899999999</v>
      </c>
      <c r="AC81">
        <v>0.70456333800000004</v>
      </c>
      <c r="AD81">
        <v>0.65980385399999997</v>
      </c>
      <c r="AE81">
        <v>0.95238082099999999</v>
      </c>
      <c r="AF81">
        <v>0.72039407799999999</v>
      </c>
      <c r="AG81">
        <v>0.72120909799999999</v>
      </c>
      <c r="AH81">
        <v>0.72314805999999998</v>
      </c>
      <c r="AI81">
        <v>0.50934229499999994</v>
      </c>
      <c r="AJ81">
        <v>0.67019385200000003</v>
      </c>
      <c r="AK81">
        <v>0.68504032199999998</v>
      </c>
      <c r="AL81">
        <v>0.63780869299999998</v>
      </c>
      <c r="AM81">
        <v>0.80101023800000004</v>
      </c>
      <c r="AN81">
        <v>0.91848200899999999</v>
      </c>
      <c r="AO81">
        <v>0.95105154000000003</v>
      </c>
      <c r="AP81">
        <v>0.58645983599999996</v>
      </c>
      <c r="AQ81">
        <v>0.64750902499999996</v>
      </c>
      <c r="AR81">
        <v>0.76350744100000001</v>
      </c>
      <c r="AT81">
        <v>0.77635385499999998</v>
      </c>
    </row>
    <row r="82" spans="1:46" x14ac:dyDescent="0.2">
      <c r="A82" s="11" t="s">
        <v>303</v>
      </c>
      <c r="B82">
        <v>8.8096078999999994E-2</v>
      </c>
      <c r="C82">
        <v>6.4823017999999996E-2</v>
      </c>
      <c r="D82">
        <v>6.2623788E-2</v>
      </c>
      <c r="E82">
        <v>5.5731206999999998E-2</v>
      </c>
      <c r="F82">
        <v>6.8334113000000002E-2</v>
      </c>
      <c r="G82">
        <v>5.3286095999999998E-2</v>
      </c>
      <c r="H82">
        <v>6.9738263999999994E-2</v>
      </c>
      <c r="I82">
        <v>0.11562451</v>
      </c>
      <c r="J82">
        <v>8.4361982000000002E-2</v>
      </c>
      <c r="K82">
        <v>8.3350181999999995E-2</v>
      </c>
      <c r="L82">
        <v>8.1676574000000002E-2</v>
      </c>
      <c r="M82">
        <v>6.9941081000000002E-2</v>
      </c>
      <c r="N82">
        <v>7.2836023999999999E-2</v>
      </c>
      <c r="O82">
        <v>8.3095226999999994E-2</v>
      </c>
      <c r="P82">
        <v>8.6233355999999997E-2</v>
      </c>
      <c r="Q82">
        <v>8.0031339000000007E-2</v>
      </c>
      <c r="R82">
        <v>0.13442395800000001</v>
      </c>
      <c r="S82">
        <v>6.5549054999999995E-2</v>
      </c>
      <c r="T82">
        <v>7.9250383999999993E-2</v>
      </c>
      <c r="U82">
        <v>0.13075055499999999</v>
      </c>
      <c r="V82">
        <v>7.8868012000000001E-2</v>
      </c>
      <c r="W82">
        <v>8.1098150999999993E-2</v>
      </c>
      <c r="X82">
        <v>8.9094120999999998E-2</v>
      </c>
      <c r="Y82">
        <v>8.3161942000000003E-2</v>
      </c>
      <c r="Z82">
        <v>7.9922839999999995E-2</v>
      </c>
      <c r="AA82">
        <v>7.1339008999999995E-2</v>
      </c>
      <c r="AB82">
        <v>8.2641786999999994E-2</v>
      </c>
      <c r="AC82">
        <v>8.2549802000000005E-2</v>
      </c>
      <c r="AD82">
        <v>7.2597260999999996E-2</v>
      </c>
      <c r="AE82">
        <v>0.12647297399999999</v>
      </c>
      <c r="AF82">
        <v>9.2408449000000004E-2</v>
      </c>
      <c r="AG82">
        <v>9.5497392E-2</v>
      </c>
      <c r="AH82">
        <v>8.340127E-2</v>
      </c>
      <c r="AI82">
        <v>4.8312157000000001E-2</v>
      </c>
      <c r="AJ82">
        <v>6.3875372E-2</v>
      </c>
      <c r="AK82">
        <v>5.8417016000000002E-2</v>
      </c>
      <c r="AL82">
        <v>7.1565276999999997E-2</v>
      </c>
      <c r="AM82">
        <v>9.0640051999999999E-2</v>
      </c>
      <c r="AN82">
        <v>9.2135412999999999E-2</v>
      </c>
      <c r="AO82">
        <v>0.118239261</v>
      </c>
      <c r="AP82">
        <v>7.5571574000000002E-2</v>
      </c>
      <c r="AQ82">
        <v>8.3688346999999996E-2</v>
      </c>
      <c r="AR82">
        <v>0.104651439</v>
      </c>
      <c r="AT82">
        <v>0.100634245</v>
      </c>
    </row>
    <row r="83" spans="1:46" x14ac:dyDescent="0.2">
      <c r="A83" s="11" t="s">
        <v>304</v>
      </c>
      <c r="B83">
        <v>2.6864333000000001E-2</v>
      </c>
      <c r="C83">
        <v>3.4261954999999997E-2</v>
      </c>
      <c r="D83">
        <v>3.1220863000000001E-2</v>
      </c>
      <c r="E83">
        <v>2.1026586E-2</v>
      </c>
      <c r="F83">
        <v>2.1233838000000001E-2</v>
      </c>
      <c r="G83">
        <v>2.8876915E-2</v>
      </c>
      <c r="H83">
        <v>2.3925034000000001E-2</v>
      </c>
      <c r="I83">
        <v>2.6204189999999999E-2</v>
      </c>
      <c r="J83">
        <v>4.3692768E-2</v>
      </c>
      <c r="K83">
        <v>2.1702342999999999E-2</v>
      </c>
      <c r="L83">
        <v>3.8385772999999998E-2</v>
      </c>
      <c r="M83">
        <v>2.3002341999999999E-2</v>
      </c>
      <c r="N83">
        <v>4.0219385000000003E-2</v>
      </c>
      <c r="O83">
        <v>3.4790245999999997E-2</v>
      </c>
      <c r="P83">
        <v>2.8367564000000001E-2</v>
      </c>
      <c r="Q83">
        <v>2.5688058999999999E-2</v>
      </c>
      <c r="R83">
        <v>4.8238246999999998E-2</v>
      </c>
      <c r="S83">
        <v>2.4648380000000001E-2</v>
      </c>
      <c r="T83">
        <v>2.4441760999999999E-2</v>
      </c>
      <c r="U83">
        <v>3.4185599999999997E-2</v>
      </c>
      <c r="V83">
        <v>1.5693932000000001E-2</v>
      </c>
      <c r="W83">
        <v>2.096992E-2</v>
      </c>
      <c r="X83">
        <v>4.5082889000000001E-2</v>
      </c>
      <c r="Y83">
        <v>3.5645174000000002E-2</v>
      </c>
      <c r="Z83">
        <v>4.1109760000000002E-2</v>
      </c>
      <c r="AA83">
        <v>3.0756817999999998E-2</v>
      </c>
      <c r="AB83">
        <v>3.2072833000000002E-2</v>
      </c>
      <c r="AC83">
        <v>2.4575208000000001E-2</v>
      </c>
      <c r="AD83">
        <v>2.2898370000000001E-2</v>
      </c>
      <c r="AE83">
        <v>2.5038844000000001E-2</v>
      </c>
      <c r="AF83">
        <v>2.3761933999999998E-2</v>
      </c>
      <c r="AG83">
        <v>3.0118377000000002E-2</v>
      </c>
      <c r="AH83">
        <v>2.0924574000000001E-2</v>
      </c>
      <c r="AI83">
        <v>2.4992875000000001E-2</v>
      </c>
      <c r="AJ83">
        <v>2.5915592000000001E-2</v>
      </c>
      <c r="AK83">
        <v>2.6647476E-2</v>
      </c>
      <c r="AL83">
        <v>2.1973558000000001E-2</v>
      </c>
      <c r="AM83">
        <v>3.1226403E-2</v>
      </c>
      <c r="AN83">
        <v>2.9067249E-2</v>
      </c>
      <c r="AO83">
        <v>2.5102559999999999E-2</v>
      </c>
      <c r="AP83">
        <v>1.8783095999999999E-2</v>
      </c>
      <c r="AQ83">
        <v>2.1781024999999999E-2</v>
      </c>
      <c r="AR83">
        <v>1.9780468999999998E-2</v>
      </c>
      <c r="AT83">
        <v>4.8394E-2</v>
      </c>
    </row>
    <row r="84" spans="1:46" x14ac:dyDescent="0.2">
      <c r="A84" s="11" t="s">
        <v>305</v>
      </c>
      <c r="B84">
        <v>9.7044063E-2</v>
      </c>
      <c r="C84">
        <v>7.3117795999999999E-2</v>
      </c>
      <c r="D84">
        <v>5.8800487999999998E-2</v>
      </c>
      <c r="E84">
        <v>6.3047598999999996E-2</v>
      </c>
      <c r="F84">
        <v>6.1411312000000003E-2</v>
      </c>
      <c r="G84">
        <v>4.1955535000000002E-2</v>
      </c>
      <c r="H84">
        <v>6.3908542999999998E-2</v>
      </c>
      <c r="I84">
        <v>7.0451614999999995E-2</v>
      </c>
      <c r="J84">
        <v>6.6357431999999994E-2</v>
      </c>
      <c r="K84">
        <v>6.6605863000000001E-2</v>
      </c>
      <c r="L84">
        <v>6.3553582999999997E-2</v>
      </c>
      <c r="M84">
        <v>5.7663513999999999E-2</v>
      </c>
      <c r="N84">
        <v>6.1242549E-2</v>
      </c>
      <c r="O84">
        <v>7.6884752000000001E-2</v>
      </c>
      <c r="P84">
        <v>7.4489830000000007E-2</v>
      </c>
      <c r="Q84">
        <v>9.9994177000000004E-2</v>
      </c>
      <c r="R84">
        <v>0.107290148</v>
      </c>
      <c r="S84">
        <v>8.1259472999999999E-2</v>
      </c>
      <c r="T84">
        <v>6.7745257000000003E-2</v>
      </c>
      <c r="U84">
        <v>0.10329117</v>
      </c>
      <c r="V84">
        <v>5.4425238000000001E-2</v>
      </c>
      <c r="W84">
        <v>6.6735425000000001E-2</v>
      </c>
      <c r="X84">
        <v>9.0302262999999994E-2</v>
      </c>
      <c r="Y84">
        <v>8.9613179000000001E-2</v>
      </c>
      <c r="Z84">
        <v>0.102181709</v>
      </c>
      <c r="AA84">
        <v>6.5156801E-2</v>
      </c>
      <c r="AB84">
        <v>7.7943644000000006E-2</v>
      </c>
      <c r="AC84">
        <v>6.2577179999999996E-2</v>
      </c>
      <c r="AD84">
        <v>6.4287243999999993E-2</v>
      </c>
      <c r="AE84">
        <v>7.9742048999999995E-2</v>
      </c>
      <c r="AF84">
        <v>5.5055748000000002E-2</v>
      </c>
      <c r="AG84">
        <v>6.7196780999999997E-2</v>
      </c>
      <c r="AH84">
        <v>6.0734560999999999E-2</v>
      </c>
      <c r="AI84">
        <v>2.9977199E-2</v>
      </c>
      <c r="AJ84">
        <v>5.8537411999999997E-2</v>
      </c>
      <c r="AK84">
        <v>0.10129864399999999</v>
      </c>
      <c r="AL84">
        <v>6.1968772999999998E-2</v>
      </c>
      <c r="AM84">
        <v>7.1992382999999993E-2</v>
      </c>
      <c r="AN84">
        <v>7.6475442000000005E-2</v>
      </c>
      <c r="AO84">
        <v>7.1358513999999998E-2</v>
      </c>
      <c r="AP84">
        <v>4.7661793000000001E-2</v>
      </c>
      <c r="AQ84">
        <v>6.1820206000000003E-2</v>
      </c>
      <c r="AR84">
        <v>5.7860663999999999E-2</v>
      </c>
      <c r="AT84">
        <v>9.9816872000000001E-2</v>
      </c>
    </row>
    <row r="85" spans="1:46" x14ac:dyDescent="0.2">
      <c r="A85" s="11" t="s">
        <v>306</v>
      </c>
      <c r="B85">
        <v>0.25117313499999999</v>
      </c>
      <c r="C85">
        <v>0.199433264</v>
      </c>
      <c r="D85">
        <v>0.17399419999999999</v>
      </c>
      <c r="E85">
        <v>0.17882547800000001</v>
      </c>
      <c r="F85">
        <v>0.18923627300000001</v>
      </c>
      <c r="G85">
        <v>0.123426959</v>
      </c>
      <c r="H85">
        <v>0.21113574800000001</v>
      </c>
      <c r="I85">
        <v>0.25470636299999999</v>
      </c>
      <c r="J85">
        <v>0.23287372100000001</v>
      </c>
      <c r="K85">
        <v>0.188796097</v>
      </c>
      <c r="L85">
        <v>0.19654579699999999</v>
      </c>
      <c r="M85">
        <v>0.231798323</v>
      </c>
      <c r="N85">
        <v>0.21665068100000001</v>
      </c>
      <c r="O85">
        <v>0.23971969400000001</v>
      </c>
      <c r="P85">
        <v>0.24430881400000001</v>
      </c>
      <c r="Q85">
        <v>0.24052810699999999</v>
      </c>
      <c r="R85">
        <v>0.34588009199999997</v>
      </c>
      <c r="S85">
        <v>0.195643393</v>
      </c>
      <c r="T85">
        <v>0.19838950999999999</v>
      </c>
      <c r="U85">
        <v>0.28877465400000002</v>
      </c>
      <c r="V85">
        <v>0.17029898700000001</v>
      </c>
      <c r="W85">
        <v>0.19377771199999999</v>
      </c>
      <c r="X85">
        <v>0.30910984200000002</v>
      </c>
      <c r="Y85">
        <v>0.25130949699999999</v>
      </c>
      <c r="Z85">
        <v>0.24549513100000001</v>
      </c>
      <c r="AA85">
        <v>0.239367207</v>
      </c>
      <c r="AB85">
        <v>0.247313122</v>
      </c>
      <c r="AC85">
        <v>0.21446253700000001</v>
      </c>
      <c r="AD85">
        <v>0.206734581</v>
      </c>
      <c r="AE85">
        <v>0.30203913300000002</v>
      </c>
      <c r="AF85">
        <v>0.21180439600000001</v>
      </c>
      <c r="AG85">
        <v>0.20162063999999999</v>
      </c>
      <c r="AH85">
        <v>0.19002749099999999</v>
      </c>
      <c r="AI85">
        <v>8.3391329E-2</v>
      </c>
      <c r="AJ85">
        <v>0.22421147699999999</v>
      </c>
      <c r="AK85">
        <v>0.36527939500000001</v>
      </c>
      <c r="AL85">
        <v>0.230941279</v>
      </c>
      <c r="AM85">
        <v>0.259529024</v>
      </c>
      <c r="AN85">
        <v>0.23867180599999999</v>
      </c>
      <c r="AO85">
        <v>0.27978261900000001</v>
      </c>
      <c r="AP85">
        <v>0.17655647699999999</v>
      </c>
      <c r="AQ85">
        <v>0.18665686400000001</v>
      </c>
      <c r="AR85">
        <v>0.20970372300000001</v>
      </c>
      <c r="AT85">
        <v>0.33136673999999999</v>
      </c>
    </row>
    <row r="86" spans="1:46" x14ac:dyDescent="0.2">
      <c r="A86" s="12" t="s">
        <v>307</v>
      </c>
      <c r="B86">
        <v>9.1948399999999993E-3</v>
      </c>
      <c r="C86">
        <v>1.0383121E-2</v>
      </c>
      <c r="D86">
        <v>1.3244545999999999E-2</v>
      </c>
      <c r="E86">
        <v>8.8600699999999994E-3</v>
      </c>
      <c r="F86">
        <v>1.0948596E-2</v>
      </c>
      <c r="G86">
        <v>1.4499979E-2</v>
      </c>
      <c r="H86">
        <v>2.0078665999999998E-2</v>
      </c>
      <c r="I86">
        <v>2.5294638000000001E-2</v>
      </c>
      <c r="J86">
        <v>2.1179282000000001E-2</v>
      </c>
      <c r="K86">
        <v>2.6295546999999999E-2</v>
      </c>
      <c r="L86">
        <v>2.1257577999999999E-2</v>
      </c>
      <c r="M86">
        <v>2.5348387E-2</v>
      </c>
      <c r="N86">
        <v>2.1215373999999999E-2</v>
      </c>
      <c r="O86">
        <v>2.2988026000000002E-2</v>
      </c>
      <c r="P86">
        <v>2.2558372E-2</v>
      </c>
      <c r="Q86">
        <v>2.0026362999999998E-2</v>
      </c>
      <c r="R86">
        <v>3.7940927999999999E-2</v>
      </c>
      <c r="S86">
        <v>1.5200534E-2</v>
      </c>
      <c r="T86">
        <v>1.8763142E-2</v>
      </c>
      <c r="U86">
        <v>3.1155207000000001E-2</v>
      </c>
      <c r="V86">
        <v>2.1624529999999999E-2</v>
      </c>
      <c r="W86">
        <v>1.8077810999999999E-2</v>
      </c>
      <c r="X86">
        <v>2.7352527000000001E-2</v>
      </c>
      <c r="Y86">
        <v>1.7960628999999999E-2</v>
      </c>
      <c r="Z86">
        <v>1.7391113E-2</v>
      </c>
      <c r="AA86">
        <v>1.4438561000000001E-2</v>
      </c>
      <c r="AB86">
        <v>1.6042860999999999E-2</v>
      </c>
      <c r="AC86">
        <v>1.8071469999999999E-2</v>
      </c>
      <c r="AD86">
        <v>2.4921216999999999E-2</v>
      </c>
      <c r="AE86">
        <v>3.1517867999999997E-2</v>
      </c>
      <c r="AF86">
        <v>2.4216768E-2</v>
      </c>
      <c r="AG86">
        <v>2.4503496999999999E-2</v>
      </c>
      <c r="AH86">
        <v>2.0180954000000001E-2</v>
      </c>
      <c r="AI86">
        <v>1.3932248E-2</v>
      </c>
      <c r="AJ86">
        <v>2.3249829E-2</v>
      </c>
      <c r="AK86">
        <v>2.3219582999999999E-2</v>
      </c>
      <c r="AL86">
        <v>1.5974614000000002E-2</v>
      </c>
      <c r="AM86">
        <v>1.9747487000000001E-2</v>
      </c>
      <c r="AN86">
        <v>2.4598156999999999E-2</v>
      </c>
      <c r="AO86">
        <v>2.5321828000000001E-2</v>
      </c>
      <c r="AP86">
        <v>1.7920124999999999E-2</v>
      </c>
      <c r="AQ86">
        <v>1.9437402999999999E-2</v>
      </c>
      <c r="AR86">
        <v>1.8257626999999998E-2</v>
      </c>
      <c r="AT86">
        <v>3.4843974E-2</v>
      </c>
    </row>
    <row r="87" spans="1:46" x14ac:dyDescent="0.2">
      <c r="A87" s="12" t="s">
        <v>308</v>
      </c>
      <c r="B87">
        <v>0.16279622799999999</v>
      </c>
      <c r="C87">
        <v>0.1530397</v>
      </c>
      <c r="D87">
        <v>0.14996754100000001</v>
      </c>
      <c r="E87">
        <v>0.11142221400000001</v>
      </c>
      <c r="F87">
        <v>0.129336538</v>
      </c>
      <c r="G87">
        <v>0.14295685</v>
      </c>
      <c r="H87">
        <v>0.136731033</v>
      </c>
      <c r="I87">
        <v>0.19234521099999999</v>
      </c>
      <c r="J87">
        <v>0.167200188</v>
      </c>
      <c r="K87">
        <v>0.129009714</v>
      </c>
      <c r="L87">
        <v>0.14513166299999999</v>
      </c>
      <c r="M87">
        <v>0.109688985</v>
      </c>
      <c r="N87">
        <v>0.120812304</v>
      </c>
      <c r="O87">
        <v>0.102822754</v>
      </c>
      <c r="P87">
        <v>0.104376653</v>
      </c>
      <c r="Q87">
        <v>8.6039776999999998E-2</v>
      </c>
      <c r="R87">
        <v>0.17770798900000001</v>
      </c>
      <c r="S87">
        <v>6.5785000999999996E-2</v>
      </c>
      <c r="T87">
        <v>7.8469219000000007E-2</v>
      </c>
      <c r="U87">
        <v>0.111728913</v>
      </c>
      <c r="V87">
        <v>7.8497581999999996E-2</v>
      </c>
      <c r="W87">
        <v>8.0768536000000002E-2</v>
      </c>
      <c r="X87">
        <v>0.107466466</v>
      </c>
      <c r="Y87">
        <v>8.7954144999999997E-2</v>
      </c>
      <c r="Z87">
        <v>8.7424782000000006E-2</v>
      </c>
      <c r="AA87">
        <v>7.6265105999999999E-2</v>
      </c>
      <c r="AB87">
        <v>7.5254080000000001E-2</v>
      </c>
      <c r="AC87">
        <v>8.0891799E-2</v>
      </c>
      <c r="AD87">
        <v>7.2422801999999994E-2</v>
      </c>
      <c r="AE87">
        <v>0.10943116</v>
      </c>
      <c r="AF87">
        <v>0.10755566499999999</v>
      </c>
      <c r="AG87">
        <v>9.1736633999999997E-2</v>
      </c>
      <c r="AH87">
        <v>7.6936201999999995E-2</v>
      </c>
      <c r="AI87">
        <v>5.8186355000000002E-2</v>
      </c>
      <c r="AJ87">
        <v>7.2097845999999993E-2</v>
      </c>
      <c r="AK87">
        <v>5.9113581999999998E-2</v>
      </c>
      <c r="AL87">
        <v>6.7161990000000005E-2</v>
      </c>
      <c r="AM87">
        <v>8.5176135E-2</v>
      </c>
      <c r="AN87">
        <v>8.9725442000000002E-2</v>
      </c>
      <c r="AO87">
        <v>0.10685858400000001</v>
      </c>
      <c r="AP87">
        <v>8.7601153000000001E-2</v>
      </c>
      <c r="AQ87">
        <v>0.10824007400000001</v>
      </c>
      <c r="AR87">
        <v>0.11009303600000001</v>
      </c>
      <c r="AT87">
        <v>0.14360235599999999</v>
      </c>
    </row>
    <row r="88" spans="1:46" x14ac:dyDescent="0.2">
      <c r="A88" s="12" t="s">
        <v>309</v>
      </c>
      <c r="B88">
        <v>3.9739328550000002</v>
      </c>
      <c r="C88">
        <v>4.0903401820000003</v>
      </c>
      <c r="D88">
        <v>2.92826392</v>
      </c>
      <c r="E88">
        <v>2.6560230589999998</v>
      </c>
      <c r="F88">
        <v>2.9534369319999998</v>
      </c>
      <c r="G88">
        <v>3.1289893499999999</v>
      </c>
      <c r="H88">
        <v>3.0606014689999999</v>
      </c>
      <c r="I88">
        <v>3.1929477890000002</v>
      </c>
      <c r="J88">
        <v>3.534790079</v>
      </c>
      <c r="K88">
        <v>2.7213595009999998</v>
      </c>
      <c r="L88">
        <v>2.6026509799999999</v>
      </c>
      <c r="M88">
        <v>2.683799601</v>
      </c>
      <c r="N88">
        <v>2.2039933930000002</v>
      </c>
      <c r="O88">
        <v>1.9023147920000001</v>
      </c>
      <c r="P88">
        <v>2.0309867499999998</v>
      </c>
      <c r="Q88">
        <v>1.960328426</v>
      </c>
      <c r="R88">
        <v>2.653564356</v>
      </c>
      <c r="S88">
        <v>1.256337555</v>
      </c>
      <c r="T88">
        <v>1.3458098620000001</v>
      </c>
      <c r="U88">
        <v>1.923994365</v>
      </c>
      <c r="V88">
        <v>1.2130566220000001</v>
      </c>
      <c r="W88">
        <v>1.3417388809999999</v>
      </c>
      <c r="X88">
        <v>1.837964964</v>
      </c>
      <c r="Y88">
        <v>1.4039279849999999</v>
      </c>
      <c r="Z88">
        <v>1.51651168</v>
      </c>
      <c r="AA88">
        <v>1.43310096</v>
      </c>
      <c r="AB88">
        <v>1.195087894</v>
      </c>
      <c r="AC88">
        <v>1.405297569</v>
      </c>
      <c r="AD88">
        <v>1.231271545</v>
      </c>
      <c r="AE88">
        <v>1.8285203569999999</v>
      </c>
      <c r="AF88">
        <v>1.7218503810000001</v>
      </c>
      <c r="AG88">
        <v>1.4929581730000001</v>
      </c>
      <c r="AH88">
        <v>1.174689544</v>
      </c>
      <c r="AI88">
        <v>0.93209520599999995</v>
      </c>
      <c r="AJ88">
        <v>1.384092922</v>
      </c>
      <c r="AK88">
        <v>1.0212815049999999</v>
      </c>
      <c r="AL88">
        <v>1.192218977</v>
      </c>
      <c r="AM88">
        <v>1.453392553</v>
      </c>
      <c r="AN88">
        <v>1.503480666</v>
      </c>
      <c r="AO88">
        <v>1.822605743</v>
      </c>
      <c r="AP88">
        <v>1.5406395610000001</v>
      </c>
      <c r="AQ88">
        <v>1.779113078</v>
      </c>
      <c r="AR88">
        <v>1.8445255490000001</v>
      </c>
      <c r="AT88">
        <v>1.7136898060000001</v>
      </c>
    </row>
    <row r="89" spans="1:46" x14ac:dyDescent="0.2">
      <c r="A89" s="12" t="s">
        <v>310</v>
      </c>
      <c r="B89">
        <v>7.1348334999999999E-2</v>
      </c>
      <c r="C89">
        <v>7.2227143999999993E-2</v>
      </c>
      <c r="D89">
        <v>7.6949671999999997E-2</v>
      </c>
      <c r="E89">
        <v>5.6716106000000002E-2</v>
      </c>
      <c r="F89">
        <v>5.6837434999999999E-2</v>
      </c>
      <c r="G89">
        <v>8.2988247000000001E-2</v>
      </c>
      <c r="H89">
        <v>6.2397629000000003E-2</v>
      </c>
      <c r="I89">
        <v>9.7367528999999994E-2</v>
      </c>
      <c r="J89">
        <v>6.0699065000000003E-2</v>
      </c>
      <c r="K89">
        <v>6.8735439999999995E-2</v>
      </c>
      <c r="L89">
        <v>5.8468803999999999E-2</v>
      </c>
      <c r="M89">
        <v>6.2155307E-2</v>
      </c>
      <c r="N89">
        <v>5.9170110999999997E-2</v>
      </c>
      <c r="O89">
        <v>6.8709170999999999E-2</v>
      </c>
      <c r="P89">
        <v>4.821015E-2</v>
      </c>
      <c r="Q89">
        <v>4.4253339000000003E-2</v>
      </c>
      <c r="R89">
        <v>0.102198678</v>
      </c>
      <c r="S89">
        <v>3.4020242999999999E-2</v>
      </c>
      <c r="T89">
        <v>3.7596437000000003E-2</v>
      </c>
      <c r="U89">
        <v>5.0305737000000003E-2</v>
      </c>
      <c r="V89">
        <v>4.2912135999999997E-2</v>
      </c>
      <c r="W89">
        <v>3.8469309E-2</v>
      </c>
      <c r="X89">
        <v>7.4080813999999995E-2</v>
      </c>
      <c r="Y89">
        <v>5.1146379999999998E-2</v>
      </c>
      <c r="Z89">
        <v>4.7360463999999998E-2</v>
      </c>
      <c r="AA89">
        <v>3.9983192000000001E-2</v>
      </c>
      <c r="AB89">
        <v>4.7333743999999997E-2</v>
      </c>
      <c r="AC89">
        <v>4.2719432000000002E-2</v>
      </c>
      <c r="AD89">
        <v>3.8626229999999998E-2</v>
      </c>
      <c r="AE89">
        <v>6.5917746999999999E-2</v>
      </c>
      <c r="AF89">
        <v>5.3219721999999997E-2</v>
      </c>
      <c r="AG89">
        <v>5.192956E-2</v>
      </c>
      <c r="AH89">
        <v>4.0960175000000001E-2</v>
      </c>
      <c r="AI89">
        <v>3.4393165000000003E-2</v>
      </c>
      <c r="AJ89">
        <v>4.2557846000000003E-2</v>
      </c>
      <c r="AK89">
        <v>3.8497879999999998E-2</v>
      </c>
      <c r="AL89">
        <v>3.7884977E-2</v>
      </c>
      <c r="AM89">
        <v>4.3786377000000001E-2</v>
      </c>
      <c r="AN89">
        <v>5.4180790999999999E-2</v>
      </c>
      <c r="AO89">
        <v>5.8223700000000003E-2</v>
      </c>
      <c r="AP89">
        <v>4.3622396000000001E-2</v>
      </c>
      <c r="AQ89">
        <v>5.8977263000000002E-2</v>
      </c>
      <c r="AR89">
        <v>5.4350073999999998E-2</v>
      </c>
      <c r="AT89">
        <v>7.4823622000000006E-2</v>
      </c>
    </row>
    <row r="90" spans="1:46" x14ac:dyDescent="0.2">
      <c r="A90" s="12" t="s">
        <v>311</v>
      </c>
      <c r="B90">
        <v>0.84261423300000005</v>
      </c>
      <c r="C90">
        <v>0.92478214199999997</v>
      </c>
      <c r="D90">
        <v>0.97657285900000002</v>
      </c>
      <c r="E90">
        <v>0.72093995499999997</v>
      </c>
      <c r="F90">
        <v>0.95197538000000004</v>
      </c>
      <c r="G90">
        <v>0.84465399500000005</v>
      </c>
      <c r="H90">
        <v>1.1167905330000001</v>
      </c>
      <c r="I90">
        <v>0.93479195100000001</v>
      </c>
      <c r="J90">
        <v>1.0681331709999999</v>
      </c>
      <c r="K90">
        <v>0.93829721799999999</v>
      </c>
      <c r="L90">
        <v>0.80657155400000002</v>
      </c>
      <c r="M90">
        <v>0.81603282499999996</v>
      </c>
      <c r="N90">
        <v>0.756559867</v>
      </c>
      <c r="O90">
        <v>0.80287304000000004</v>
      </c>
      <c r="P90">
        <v>0.65949921499999997</v>
      </c>
      <c r="Q90">
        <v>0.85567307699999995</v>
      </c>
      <c r="R90">
        <v>1.340987967</v>
      </c>
      <c r="S90">
        <v>0.61675338000000002</v>
      </c>
      <c r="T90">
        <v>0.729437997</v>
      </c>
      <c r="U90">
        <v>1.1849109769999999</v>
      </c>
      <c r="V90">
        <v>0.58706213900000004</v>
      </c>
      <c r="W90">
        <v>0.75978053999999995</v>
      </c>
      <c r="X90">
        <v>0.90864630000000002</v>
      </c>
      <c r="Y90">
        <v>0.62371583100000005</v>
      </c>
      <c r="Z90">
        <v>0.767338293</v>
      </c>
      <c r="AA90">
        <v>0.55523643700000003</v>
      </c>
      <c r="AB90">
        <v>0.58981145099999999</v>
      </c>
      <c r="AC90">
        <v>0.67394579899999996</v>
      </c>
      <c r="AD90">
        <v>0.751143373</v>
      </c>
      <c r="AE90">
        <v>0.93984352400000004</v>
      </c>
      <c r="AF90">
        <v>0.75055706700000002</v>
      </c>
      <c r="AG90">
        <v>0.87018317000000001</v>
      </c>
      <c r="AH90">
        <v>0.56870056099999999</v>
      </c>
      <c r="AI90">
        <v>0.47894255400000002</v>
      </c>
      <c r="AJ90">
        <v>0.64393512100000005</v>
      </c>
      <c r="AK90">
        <v>0.464180712</v>
      </c>
      <c r="AL90">
        <v>0.47479450600000001</v>
      </c>
      <c r="AM90">
        <v>0.63679021800000002</v>
      </c>
      <c r="AN90">
        <v>0.72699094799999997</v>
      </c>
      <c r="AO90">
        <v>0.77859904700000004</v>
      </c>
      <c r="AP90">
        <v>0.58504980399999995</v>
      </c>
      <c r="AQ90">
        <v>0.74726276400000002</v>
      </c>
      <c r="AR90">
        <v>0.66309872700000005</v>
      </c>
      <c r="AT90">
        <v>0.66310083799999997</v>
      </c>
    </row>
    <row r="91" spans="1:46" s="5" customFormat="1" x14ac:dyDescent="0.2"/>
    <row r="92" spans="1:46" s="19" customFormat="1" x14ac:dyDescent="0.2">
      <c r="A92" s="19" t="s">
        <v>240</v>
      </c>
    </row>
    <row r="93" spans="1:46" x14ac:dyDescent="0.2">
      <c r="A93" t="s">
        <v>192</v>
      </c>
      <c r="B93" t="s">
        <v>376</v>
      </c>
      <c r="C93" t="s">
        <v>377</v>
      </c>
      <c r="D93" t="s">
        <v>378</v>
      </c>
      <c r="E93" t="s">
        <v>379</v>
      </c>
      <c r="F93" t="s">
        <v>380</v>
      </c>
      <c r="G93" t="s">
        <v>381</v>
      </c>
      <c r="H93" t="s">
        <v>382</v>
      </c>
      <c r="I93" t="s">
        <v>383</v>
      </c>
      <c r="J93" t="s">
        <v>384</v>
      </c>
      <c r="K93" t="s">
        <v>385</v>
      </c>
      <c r="L93" t="s">
        <v>386</v>
      </c>
      <c r="M93" t="s">
        <v>387</v>
      </c>
      <c r="N93" t="s">
        <v>388</v>
      </c>
      <c r="O93" t="s">
        <v>389</v>
      </c>
      <c r="P93" t="s">
        <v>390</v>
      </c>
      <c r="Q93" t="s">
        <v>391</v>
      </c>
      <c r="R93" t="s">
        <v>392</v>
      </c>
      <c r="S93" t="s">
        <v>393</v>
      </c>
      <c r="T93" t="s">
        <v>394</v>
      </c>
      <c r="U93" t="s">
        <v>395</v>
      </c>
      <c r="V93" t="s">
        <v>396</v>
      </c>
      <c r="W93" t="s">
        <v>397</v>
      </c>
      <c r="X93" t="s">
        <v>398</v>
      </c>
      <c r="Y93" t="s">
        <v>399</v>
      </c>
      <c r="Z93" t="s">
        <v>400</v>
      </c>
      <c r="AA93" t="s">
        <v>401</v>
      </c>
      <c r="AB93" t="s">
        <v>402</v>
      </c>
      <c r="AC93" t="s">
        <v>403</v>
      </c>
      <c r="AD93" t="s">
        <v>404</v>
      </c>
      <c r="AE93" t="s">
        <v>405</v>
      </c>
      <c r="AF93" t="s">
        <v>406</v>
      </c>
      <c r="AG93" t="s">
        <v>407</v>
      </c>
      <c r="AH93" t="s">
        <v>408</v>
      </c>
      <c r="AI93" t="s">
        <v>409</v>
      </c>
      <c r="AJ93" t="s">
        <v>410</v>
      </c>
      <c r="AK93" t="s">
        <v>411</v>
      </c>
      <c r="AL93" t="s">
        <v>412</v>
      </c>
      <c r="AM93" t="s">
        <v>413</v>
      </c>
      <c r="AN93" t="s">
        <v>414</v>
      </c>
      <c r="AO93" t="s">
        <v>415</v>
      </c>
      <c r="AP93" t="s">
        <v>416</v>
      </c>
      <c r="AQ93" t="s">
        <v>417</v>
      </c>
      <c r="AR93" t="s">
        <v>419</v>
      </c>
      <c r="AT93" t="s">
        <v>418</v>
      </c>
    </row>
    <row r="94" spans="1:46" x14ac:dyDescent="0.2">
      <c r="A94" t="s">
        <v>237</v>
      </c>
      <c r="B94" t="s">
        <v>238</v>
      </c>
      <c r="C94" t="s">
        <v>238</v>
      </c>
      <c r="D94" t="s">
        <v>238</v>
      </c>
      <c r="E94" t="s">
        <v>238</v>
      </c>
      <c r="F94" t="s">
        <v>238</v>
      </c>
      <c r="G94" t="s">
        <v>238</v>
      </c>
      <c r="H94" t="s">
        <v>238</v>
      </c>
      <c r="I94" t="s">
        <v>238</v>
      </c>
      <c r="J94" t="s">
        <v>238</v>
      </c>
      <c r="K94" t="s">
        <v>238</v>
      </c>
      <c r="L94" t="s">
        <v>238</v>
      </c>
      <c r="M94" t="s">
        <v>239</v>
      </c>
      <c r="N94" t="s">
        <v>239</v>
      </c>
      <c r="O94" t="s">
        <v>239</v>
      </c>
      <c r="P94" t="s">
        <v>239</v>
      </c>
      <c r="Q94" t="s">
        <v>239</v>
      </c>
      <c r="R94" t="s">
        <v>239</v>
      </c>
      <c r="S94" t="s">
        <v>239</v>
      </c>
      <c r="T94" t="s">
        <v>239</v>
      </c>
      <c r="U94" t="s">
        <v>239</v>
      </c>
      <c r="V94" t="s">
        <v>239</v>
      </c>
      <c r="W94" t="s">
        <v>239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T94" t="s">
        <v>3</v>
      </c>
    </row>
    <row r="95" spans="1:46" x14ac:dyDescent="0.2">
      <c r="A95" s="16" t="s">
        <v>420</v>
      </c>
      <c r="B95">
        <v>28.444203590000001</v>
      </c>
      <c r="C95">
        <v>19.35753742</v>
      </c>
      <c r="D95">
        <v>18.90455244</v>
      </c>
      <c r="E95">
        <v>15.6764054</v>
      </c>
      <c r="F95">
        <v>28.00436178</v>
      </c>
      <c r="G95">
        <v>34.205583959999998</v>
      </c>
      <c r="H95">
        <v>31.069255399999999</v>
      </c>
      <c r="I95">
        <v>44.54678972</v>
      </c>
      <c r="J95">
        <v>35.42296073</v>
      </c>
      <c r="K95">
        <v>72.386869090000005</v>
      </c>
      <c r="L95">
        <v>28.44032284</v>
      </c>
      <c r="M95">
        <v>40.0970187</v>
      </c>
      <c r="N95">
        <v>44.24967547</v>
      </c>
      <c r="O95">
        <v>44.971951320000002</v>
      </c>
      <c r="P95">
        <v>52.257525829999999</v>
      </c>
      <c r="Q95">
        <v>55.228422369999997</v>
      </c>
      <c r="R95">
        <v>89.202052089999995</v>
      </c>
      <c r="S95">
        <v>50.028345420000001</v>
      </c>
      <c r="T95">
        <v>41.493655799999999</v>
      </c>
      <c r="U95">
        <v>75.618837920000004</v>
      </c>
      <c r="V95">
        <v>48.903628429999998</v>
      </c>
      <c r="W95">
        <v>46.638641149999998</v>
      </c>
      <c r="X95">
        <v>68.539127089999994</v>
      </c>
      <c r="Y95">
        <v>52.866417310000003</v>
      </c>
      <c r="Z95">
        <v>45.324787120000003</v>
      </c>
      <c r="AA95">
        <v>58.639511669999997</v>
      </c>
      <c r="AB95">
        <v>55.099918770000002</v>
      </c>
      <c r="AC95">
        <v>54.798203639999997</v>
      </c>
      <c r="AD95">
        <v>58.680900680000001</v>
      </c>
      <c r="AE95">
        <v>69.527367769999998</v>
      </c>
      <c r="AF95">
        <v>48.64786806</v>
      </c>
      <c r="AG95">
        <v>41.885648449999998</v>
      </c>
      <c r="AH95">
        <v>60.084263210000003</v>
      </c>
      <c r="AI95">
        <v>28.404254120000001</v>
      </c>
      <c r="AJ95">
        <v>53.188781759999998</v>
      </c>
      <c r="AK95">
        <v>41.85003064</v>
      </c>
      <c r="AL95">
        <v>51.676148269999999</v>
      </c>
      <c r="AM95">
        <v>84.891429119999998</v>
      </c>
      <c r="AN95">
        <v>50.867529589999997</v>
      </c>
      <c r="AO95">
        <v>62.83874514</v>
      </c>
      <c r="AP95">
        <v>44.609005240000002</v>
      </c>
      <c r="AQ95">
        <v>39.427650900000003</v>
      </c>
      <c r="AR95">
        <v>54.536222600000002</v>
      </c>
      <c r="AT95">
        <v>23.309644259999999</v>
      </c>
    </row>
    <row r="96" spans="1:46" x14ac:dyDescent="0.2">
      <c r="A96" s="16" t="s">
        <v>421</v>
      </c>
      <c r="B96">
        <v>1.5634266889999999</v>
      </c>
      <c r="C96">
        <v>1.1432644329999999</v>
      </c>
      <c r="D96">
        <v>0.96927803400000001</v>
      </c>
      <c r="E96">
        <v>0.91832896799999997</v>
      </c>
      <c r="F96">
        <v>1.4846514689999999</v>
      </c>
      <c r="G96">
        <v>1.7626816009999999</v>
      </c>
      <c r="H96">
        <v>1.431144916</v>
      </c>
      <c r="I96">
        <v>2.2588071850000002</v>
      </c>
      <c r="J96">
        <v>1.316098403</v>
      </c>
      <c r="K96">
        <v>2.568650952</v>
      </c>
      <c r="L96">
        <v>1.4959236920000001</v>
      </c>
      <c r="M96">
        <v>1.337183282</v>
      </c>
      <c r="N96">
        <v>1.7310255299999999</v>
      </c>
      <c r="O96">
        <v>1.591611289</v>
      </c>
      <c r="P96">
        <v>1.9620338479999999</v>
      </c>
      <c r="Q96">
        <v>2.0460474080000002</v>
      </c>
      <c r="R96">
        <v>2.9967113919999999</v>
      </c>
      <c r="S96">
        <v>1.8453715040000001</v>
      </c>
      <c r="T96">
        <v>1.5226778830000001</v>
      </c>
      <c r="U96">
        <v>2.8172477059999999</v>
      </c>
      <c r="V96">
        <v>1.577342791</v>
      </c>
      <c r="W96">
        <v>1.632965786</v>
      </c>
      <c r="X96">
        <v>2.328686791</v>
      </c>
      <c r="Y96">
        <v>1.7379998219999999</v>
      </c>
      <c r="Z96">
        <v>1.730655313</v>
      </c>
      <c r="AA96">
        <v>1.83737715</v>
      </c>
      <c r="AB96">
        <v>1.598537774</v>
      </c>
      <c r="AC96">
        <v>1.751895752</v>
      </c>
      <c r="AD96">
        <v>2.2029754719999999</v>
      </c>
      <c r="AE96">
        <v>2.6629766300000002</v>
      </c>
      <c r="AF96">
        <v>1.717538214</v>
      </c>
      <c r="AG96">
        <v>1.5379851659999999</v>
      </c>
      <c r="AH96">
        <v>2.5316704959999998</v>
      </c>
      <c r="AI96">
        <v>1.240577748</v>
      </c>
      <c r="AJ96">
        <v>1.956382002</v>
      </c>
      <c r="AK96">
        <v>3.2384344359999999</v>
      </c>
      <c r="AL96">
        <v>1.891700242</v>
      </c>
      <c r="AM96">
        <v>2.6925578730000002</v>
      </c>
      <c r="AN96">
        <v>1.6771449700000001</v>
      </c>
      <c r="AO96">
        <v>1.9807204460000001</v>
      </c>
      <c r="AP96">
        <v>1.4124956369999999</v>
      </c>
      <c r="AQ96">
        <v>1.452854812</v>
      </c>
      <c r="AR96">
        <v>1.3969541700000001</v>
      </c>
      <c r="AT96">
        <v>0.99164859900000002</v>
      </c>
    </row>
    <row r="97" spans="1:46" s="5" customFormat="1" x14ac:dyDescent="0.2"/>
    <row r="98" spans="1:46" s="10" customFormat="1" x14ac:dyDescent="0.2">
      <c r="A98" s="10" t="s">
        <v>432</v>
      </c>
    </row>
    <row r="99" spans="1:46" x14ac:dyDescent="0.2">
      <c r="A99" t="s">
        <v>192</v>
      </c>
      <c r="B99" t="s">
        <v>193</v>
      </c>
      <c r="C99" t="s">
        <v>194</v>
      </c>
      <c r="D99" t="s">
        <v>195</v>
      </c>
      <c r="E99" t="s">
        <v>196</v>
      </c>
      <c r="F99" t="s">
        <v>197</v>
      </c>
      <c r="G99" t="s">
        <v>198</v>
      </c>
      <c r="H99" t="s">
        <v>199</v>
      </c>
      <c r="I99" t="s">
        <v>200</v>
      </c>
      <c r="J99" t="s">
        <v>201</v>
      </c>
      <c r="K99" t="s">
        <v>202</v>
      </c>
      <c r="L99" t="s">
        <v>203</v>
      </c>
      <c r="M99" t="s">
        <v>204</v>
      </c>
      <c r="N99" t="s">
        <v>205</v>
      </c>
      <c r="O99" t="s">
        <v>206</v>
      </c>
      <c r="P99" t="s">
        <v>207</v>
      </c>
      <c r="Q99" t="s">
        <v>208</v>
      </c>
      <c r="R99" t="s">
        <v>209</v>
      </c>
      <c r="S99" t="s">
        <v>210</v>
      </c>
      <c r="T99" t="s">
        <v>211</v>
      </c>
      <c r="U99" t="s">
        <v>212</v>
      </c>
      <c r="V99" t="s">
        <v>213</v>
      </c>
      <c r="W99" t="s">
        <v>214</v>
      </c>
      <c r="X99" t="s">
        <v>215</v>
      </c>
      <c r="Y99" t="s">
        <v>216</v>
      </c>
      <c r="Z99" t="s">
        <v>217</v>
      </c>
      <c r="AA99" t="s">
        <v>218</v>
      </c>
      <c r="AB99" t="s">
        <v>219</v>
      </c>
      <c r="AC99" t="s">
        <v>220</v>
      </c>
      <c r="AD99" t="s">
        <v>221</v>
      </c>
      <c r="AE99" t="s">
        <v>222</v>
      </c>
      <c r="AF99" t="s">
        <v>223</v>
      </c>
      <c r="AG99" t="s">
        <v>224</v>
      </c>
      <c r="AH99" t="s">
        <v>225</v>
      </c>
      <c r="AI99" t="s">
        <v>226</v>
      </c>
      <c r="AJ99" t="s">
        <v>227</v>
      </c>
      <c r="AK99" t="s">
        <v>228</v>
      </c>
      <c r="AL99" t="s">
        <v>229</v>
      </c>
      <c r="AM99" t="s">
        <v>230</v>
      </c>
      <c r="AN99" t="s">
        <v>231</v>
      </c>
      <c r="AO99" t="s">
        <v>232</v>
      </c>
      <c r="AP99" t="s">
        <v>233</v>
      </c>
      <c r="AQ99" t="s">
        <v>234</v>
      </c>
      <c r="AR99" t="s">
        <v>236</v>
      </c>
      <c r="AT99" t="s">
        <v>235</v>
      </c>
    </row>
    <row r="100" spans="1:46" x14ac:dyDescent="0.2">
      <c r="A100" t="s">
        <v>237</v>
      </c>
      <c r="B100" t="s">
        <v>238</v>
      </c>
      <c r="C100" t="s">
        <v>238</v>
      </c>
      <c r="D100" t="s">
        <v>238</v>
      </c>
      <c r="E100" t="s">
        <v>238</v>
      </c>
      <c r="F100" t="s">
        <v>238</v>
      </c>
      <c r="G100" t="s">
        <v>238</v>
      </c>
      <c r="H100" t="s">
        <v>238</v>
      </c>
      <c r="I100" t="s">
        <v>238</v>
      </c>
      <c r="J100" t="s">
        <v>238</v>
      </c>
      <c r="K100" t="s">
        <v>238</v>
      </c>
      <c r="L100" t="s">
        <v>238</v>
      </c>
      <c r="M100" t="s">
        <v>239</v>
      </c>
      <c r="N100" t="s">
        <v>239</v>
      </c>
      <c r="O100" t="s">
        <v>239</v>
      </c>
      <c r="P100" t="s">
        <v>239</v>
      </c>
      <c r="Q100" t="s">
        <v>239</v>
      </c>
      <c r="R100" t="s">
        <v>239</v>
      </c>
      <c r="S100" t="s">
        <v>239</v>
      </c>
      <c r="T100" t="s">
        <v>239</v>
      </c>
      <c r="U100" t="s">
        <v>239</v>
      </c>
      <c r="V100" t="s">
        <v>239</v>
      </c>
      <c r="W100" t="s">
        <v>239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  <c r="AO100" t="s">
        <v>3</v>
      </c>
      <c r="AP100" t="s">
        <v>3</v>
      </c>
      <c r="AQ100" t="s">
        <v>3</v>
      </c>
      <c r="AR100" t="s">
        <v>3</v>
      </c>
      <c r="AT100" t="s">
        <v>3</v>
      </c>
    </row>
    <row r="101" spans="1:46" x14ac:dyDescent="0.2">
      <c r="A101" s="10" t="s">
        <v>99</v>
      </c>
      <c r="B101">
        <v>94.289172980000004</v>
      </c>
      <c r="C101">
        <v>207.05201210000001</v>
      </c>
      <c r="D101">
        <v>169.5357923</v>
      </c>
      <c r="E101">
        <v>132.5521219</v>
      </c>
      <c r="F101">
        <v>111.5195739</v>
      </c>
      <c r="G101">
        <v>163.1265028</v>
      </c>
      <c r="H101">
        <v>92.684452829999998</v>
      </c>
      <c r="I101">
        <v>105.4689712</v>
      </c>
      <c r="J101">
        <v>244.03495359999999</v>
      </c>
      <c r="K101">
        <v>130.34117610000001</v>
      </c>
      <c r="L101">
        <v>194.58841960000001</v>
      </c>
      <c r="M101">
        <v>111.068534</v>
      </c>
      <c r="N101">
        <v>119.29151419999999</v>
      </c>
      <c r="O101">
        <v>111.35351489999999</v>
      </c>
      <c r="P101">
        <v>88.748066219999998</v>
      </c>
      <c r="Q101">
        <v>120.1870808</v>
      </c>
      <c r="R101">
        <v>106.99486280000001</v>
      </c>
      <c r="S101">
        <v>75.275492400000005</v>
      </c>
      <c r="T101">
        <v>108.237724</v>
      </c>
      <c r="U101">
        <v>178.80025900000001</v>
      </c>
      <c r="V101">
        <v>155.26117360000001</v>
      </c>
      <c r="W101">
        <v>83.851918429999998</v>
      </c>
      <c r="X101">
        <v>77.090414499999994</v>
      </c>
      <c r="Y101">
        <v>89.380530489999998</v>
      </c>
      <c r="Z101">
        <v>95.437182919999998</v>
      </c>
      <c r="AA101">
        <v>49.412063080000003</v>
      </c>
      <c r="AB101">
        <v>127.3784521</v>
      </c>
      <c r="AC101">
        <v>43.240680500000003</v>
      </c>
      <c r="AD101">
        <v>109.86345059999999</v>
      </c>
      <c r="AE101">
        <v>71.890870890000002</v>
      </c>
      <c r="AF101">
        <v>67.19869722</v>
      </c>
      <c r="AG101">
        <v>36.280192620000001</v>
      </c>
      <c r="AH101">
        <v>93.476476180000006</v>
      </c>
      <c r="AI101">
        <v>41.212402359999999</v>
      </c>
      <c r="AJ101">
        <v>54.097974350000001</v>
      </c>
      <c r="AK101">
        <v>69.016291899999999</v>
      </c>
      <c r="AL101">
        <v>50.930053569999998</v>
      </c>
      <c r="AM101">
        <v>57.0640681</v>
      </c>
      <c r="AN101">
        <v>53.96195848</v>
      </c>
      <c r="AO101">
        <v>77.982658470000004</v>
      </c>
      <c r="AP101">
        <v>36.276900320000003</v>
      </c>
      <c r="AQ101">
        <v>58.848805749999997</v>
      </c>
      <c r="AR101">
        <v>46.127074039999997</v>
      </c>
      <c r="AT101">
        <v>56.301501279999997</v>
      </c>
    </row>
    <row r="102" spans="1:46" x14ac:dyDescent="0.2">
      <c r="A102" s="6" t="s">
        <v>100</v>
      </c>
      <c r="B102">
        <v>581.12638379999999</v>
      </c>
      <c r="C102">
        <v>1081.8268579999999</v>
      </c>
      <c r="D102">
        <v>931.1534259</v>
      </c>
      <c r="E102">
        <v>798.70348980000006</v>
      </c>
      <c r="F102">
        <v>495.90393460000001</v>
      </c>
      <c r="G102">
        <v>935.04555760000005</v>
      </c>
      <c r="H102">
        <v>506.84769130000001</v>
      </c>
      <c r="I102">
        <v>637.5294093</v>
      </c>
      <c r="J102">
        <v>1165.92752</v>
      </c>
      <c r="K102">
        <v>910.76036369999997</v>
      </c>
      <c r="L102">
        <v>1419.678459</v>
      </c>
      <c r="M102">
        <v>684.73927819999994</v>
      </c>
      <c r="N102">
        <v>656.86795900000004</v>
      </c>
      <c r="O102">
        <v>858.15916760000005</v>
      </c>
      <c r="P102">
        <v>523.33498239999994</v>
      </c>
      <c r="Q102">
        <v>601.27968769999995</v>
      </c>
      <c r="R102">
        <v>639.62552249999999</v>
      </c>
      <c r="S102">
        <v>551.51799440000002</v>
      </c>
      <c r="T102">
        <v>631.35838709999996</v>
      </c>
      <c r="U102">
        <v>984.81977970000003</v>
      </c>
      <c r="V102">
        <v>1430.5351740000001</v>
      </c>
      <c r="W102">
        <v>553.95646969999996</v>
      </c>
      <c r="X102">
        <v>685.53479949999996</v>
      </c>
      <c r="Y102">
        <v>762.37200459999997</v>
      </c>
      <c r="Z102">
        <v>781.31437219999998</v>
      </c>
      <c r="AA102">
        <v>587.28948530000002</v>
      </c>
      <c r="AB102">
        <v>1267.232</v>
      </c>
      <c r="AC102">
        <v>422.21581020000002</v>
      </c>
      <c r="AD102">
        <v>925.51479800000004</v>
      </c>
      <c r="AE102">
        <v>647.46525210000004</v>
      </c>
      <c r="AF102">
        <v>604.66734329999997</v>
      </c>
      <c r="AG102">
        <v>359.11145959999999</v>
      </c>
      <c r="AH102">
        <v>858.42710079999995</v>
      </c>
      <c r="AI102">
        <v>467.68685399999998</v>
      </c>
      <c r="AJ102">
        <v>409.5968426</v>
      </c>
      <c r="AK102">
        <v>588.43875030000004</v>
      </c>
      <c r="AL102">
        <v>560.28001089999998</v>
      </c>
      <c r="AM102">
        <v>560.13371140000004</v>
      </c>
      <c r="AN102">
        <v>556.7860475</v>
      </c>
      <c r="AO102">
        <v>830.23896549999995</v>
      </c>
      <c r="AP102">
        <v>347.5432409</v>
      </c>
      <c r="AQ102">
        <v>593.98820929999999</v>
      </c>
      <c r="AR102">
        <v>448.84360830000003</v>
      </c>
      <c r="AT102">
        <v>553.58701729999996</v>
      </c>
    </row>
    <row r="104" spans="1:46" s="9" customFormat="1" x14ac:dyDescent="0.2">
      <c r="A104" s="9" t="s">
        <v>433</v>
      </c>
    </row>
    <row r="105" spans="1:46" x14ac:dyDescent="0.2">
      <c r="A105" t="s">
        <v>192</v>
      </c>
      <c r="B105" t="s">
        <v>193</v>
      </c>
      <c r="C105" t="s">
        <v>194</v>
      </c>
      <c r="D105" t="s">
        <v>195</v>
      </c>
      <c r="E105" t="s">
        <v>196</v>
      </c>
      <c r="F105" t="s">
        <v>197</v>
      </c>
      <c r="G105" t="s">
        <v>198</v>
      </c>
      <c r="H105" t="s">
        <v>199</v>
      </c>
      <c r="I105" t="s">
        <v>200</v>
      </c>
      <c r="J105" t="s">
        <v>201</v>
      </c>
      <c r="K105" t="s">
        <v>202</v>
      </c>
      <c r="L105" t="s">
        <v>203</v>
      </c>
      <c r="M105" t="s">
        <v>204</v>
      </c>
      <c r="N105" t="s">
        <v>205</v>
      </c>
      <c r="O105" t="s">
        <v>206</v>
      </c>
      <c r="P105" t="s">
        <v>207</v>
      </c>
      <c r="Q105" t="s">
        <v>208</v>
      </c>
      <c r="R105" t="s">
        <v>209</v>
      </c>
      <c r="S105" t="s">
        <v>210</v>
      </c>
      <c r="T105" t="s">
        <v>211</v>
      </c>
      <c r="U105" t="s">
        <v>212</v>
      </c>
      <c r="V105" t="s">
        <v>213</v>
      </c>
      <c r="W105" t="s">
        <v>214</v>
      </c>
      <c r="X105" t="s">
        <v>215</v>
      </c>
      <c r="Y105" t="s">
        <v>216</v>
      </c>
      <c r="Z105" t="s">
        <v>217</v>
      </c>
      <c r="AA105" t="s">
        <v>218</v>
      </c>
      <c r="AB105" t="s">
        <v>219</v>
      </c>
      <c r="AC105" t="s">
        <v>220</v>
      </c>
      <c r="AD105" t="s">
        <v>221</v>
      </c>
      <c r="AE105" t="s">
        <v>222</v>
      </c>
      <c r="AF105" t="s">
        <v>223</v>
      </c>
      <c r="AG105" t="s">
        <v>224</v>
      </c>
      <c r="AH105" t="s">
        <v>225</v>
      </c>
      <c r="AI105" t="s">
        <v>226</v>
      </c>
      <c r="AJ105" t="s">
        <v>227</v>
      </c>
      <c r="AK105" t="s">
        <v>228</v>
      </c>
      <c r="AL105" t="s">
        <v>229</v>
      </c>
      <c r="AM105" t="s">
        <v>230</v>
      </c>
      <c r="AN105" t="s">
        <v>231</v>
      </c>
      <c r="AO105" t="s">
        <v>232</v>
      </c>
      <c r="AP105" t="s">
        <v>233</v>
      </c>
      <c r="AQ105" t="s">
        <v>234</v>
      </c>
      <c r="AR105" t="s">
        <v>236</v>
      </c>
      <c r="AT105" t="s">
        <v>235</v>
      </c>
    </row>
    <row r="106" spans="1:46" x14ac:dyDescent="0.2">
      <c r="A106" t="s">
        <v>237</v>
      </c>
      <c r="B106" t="s">
        <v>238</v>
      </c>
      <c r="C106" t="s">
        <v>238</v>
      </c>
      <c r="D106" t="s">
        <v>238</v>
      </c>
      <c r="E106" t="s">
        <v>238</v>
      </c>
      <c r="F106" t="s">
        <v>238</v>
      </c>
      <c r="G106" t="s">
        <v>238</v>
      </c>
      <c r="H106" t="s">
        <v>238</v>
      </c>
      <c r="I106" t="s">
        <v>238</v>
      </c>
      <c r="J106" t="s">
        <v>238</v>
      </c>
      <c r="K106" t="s">
        <v>238</v>
      </c>
      <c r="L106" t="s">
        <v>238</v>
      </c>
      <c r="M106" t="s">
        <v>239</v>
      </c>
      <c r="N106" t="s">
        <v>239</v>
      </c>
      <c r="O106" t="s">
        <v>239</v>
      </c>
      <c r="P106" t="s">
        <v>239</v>
      </c>
      <c r="Q106" t="s">
        <v>239</v>
      </c>
      <c r="R106" t="s">
        <v>239</v>
      </c>
      <c r="S106" t="s">
        <v>239</v>
      </c>
      <c r="T106" t="s">
        <v>239</v>
      </c>
      <c r="U106" t="s">
        <v>239</v>
      </c>
      <c r="V106" t="s">
        <v>239</v>
      </c>
      <c r="W106" t="s">
        <v>239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T106" t="s">
        <v>3</v>
      </c>
    </row>
    <row r="107" spans="1:46" x14ac:dyDescent="0.2">
      <c r="A107" s="9" t="s">
        <v>318</v>
      </c>
      <c r="B107">
        <v>7.3840408999999996E-2</v>
      </c>
      <c r="C107">
        <v>4.7919486999999997E-2</v>
      </c>
      <c r="D107">
        <v>7.1788066999999997E-2</v>
      </c>
      <c r="E107">
        <v>0.349547473</v>
      </c>
      <c r="F107">
        <v>0.137334447</v>
      </c>
      <c r="G107">
        <v>0.17017021500000001</v>
      </c>
      <c r="H107">
        <v>0.37116219900000003</v>
      </c>
      <c r="I107">
        <v>0.156461772</v>
      </c>
      <c r="J107">
        <v>7.4248059000000005E-2</v>
      </c>
      <c r="K107">
        <v>0.13592910499999999</v>
      </c>
      <c r="L107">
        <v>0.40632684099999999</v>
      </c>
      <c r="M107">
        <v>5.5441478000000002E-2</v>
      </c>
      <c r="N107">
        <v>0.15531122</v>
      </c>
      <c r="O107">
        <v>0.174878014</v>
      </c>
      <c r="P107">
        <v>0.28300282399999999</v>
      </c>
      <c r="Q107">
        <v>0.16514247800000001</v>
      </c>
      <c r="R107">
        <v>0.14187380499999999</v>
      </c>
      <c r="S107">
        <v>0.671406736</v>
      </c>
      <c r="T107">
        <v>0.184553519</v>
      </c>
      <c r="U107">
        <v>0.22831210900000001</v>
      </c>
      <c r="V107">
        <v>0.36677671499999998</v>
      </c>
      <c r="W107">
        <v>0.316242313</v>
      </c>
      <c r="X107">
        <v>0.109640261</v>
      </c>
      <c r="Y107">
        <v>0.46654521100000002</v>
      </c>
      <c r="Z107">
        <v>0.62123880099999995</v>
      </c>
      <c r="AA107">
        <v>0.57214837200000002</v>
      </c>
      <c r="AB107">
        <v>0.34639451700000001</v>
      </c>
      <c r="AC107">
        <v>0.17279067300000001</v>
      </c>
      <c r="AD107">
        <v>0.13050537400000001</v>
      </c>
      <c r="AE107">
        <v>9.9430645999999998E-2</v>
      </c>
      <c r="AF107">
        <v>7.2714535999999996E-2</v>
      </c>
      <c r="AG107">
        <v>6.2076579E-2</v>
      </c>
      <c r="AH107">
        <v>0.30504364699999997</v>
      </c>
      <c r="AI107">
        <v>0.67889156100000003</v>
      </c>
      <c r="AJ107">
        <v>5.3609429E-2</v>
      </c>
      <c r="AK107">
        <v>0.48902840199999997</v>
      </c>
      <c r="AL107">
        <v>0.36759510299999998</v>
      </c>
      <c r="AM107">
        <v>0.202878798</v>
      </c>
      <c r="AN107">
        <v>0.223878881</v>
      </c>
      <c r="AO107">
        <v>0.14005757599999999</v>
      </c>
      <c r="AP107">
        <v>0.19316308600000001</v>
      </c>
      <c r="AQ107">
        <v>0.21047426699999999</v>
      </c>
      <c r="AR107">
        <v>0.18750952600000001</v>
      </c>
      <c r="AT107">
        <v>7.6931668999999994E-2</v>
      </c>
    </row>
    <row r="108" spans="1:46" x14ac:dyDescent="0.2">
      <c r="A108" s="9" t="s">
        <v>319</v>
      </c>
      <c r="B108">
        <v>2.0463433869999998</v>
      </c>
      <c r="C108">
        <v>1.101793657</v>
      </c>
      <c r="D108">
        <v>1.4791341149999999</v>
      </c>
      <c r="E108">
        <v>7.6543900300000001</v>
      </c>
      <c r="F108">
        <v>2.3695538439999999</v>
      </c>
      <c r="G108">
        <v>2.722431324</v>
      </c>
      <c r="H108">
        <v>6.9588514669999997</v>
      </c>
      <c r="I108">
        <v>4.6426647049999996</v>
      </c>
      <c r="J108">
        <v>1.314310984</v>
      </c>
      <c r="K108">
        <v>2.4646271319999999</v>
      </c>
      <c r="L108">
        <v>6.3055276950000003</v>
      </c>
      <c r="M108">
        <v>2.0615518640000001</v>
      </c>
      <c r="N108">
        <v>3.7511892169999999</v>
      </c>
      <c r="O108">
        <v>5.5387728440000004</v>
      </c>
      <c r="P108">
        <v>4.6064844589999998</v>
      </c>
      <c r="Q108">
        <v>5.6657521539999998</v>
      </c>
      <c r="R108">
        <v>4.1926173779999996</v>
      </c>
      <c r="S108">
        <v>10.79150063</v>
      </c>
      <c r="T108">
        <v>5.2986472420000004</v>
      </c>
      <c r="U108">
        <v>8.1100682469999992</v>
      </c>
      <c r="V108">
        <v>8.8507638069999999</v>
      </c>
      <c r="W108">
        <v>8.9190586790000008</v>
      </c>
      <c r="X108">
        <v>2.9528613789999998</v>
      </c>
      <c r="Y108">
        <v>7.6367298139999997</v>
      </c>
      <c r="Z108">
        <v>9.7024868709999996</v>
      </c>
      <c r="AA108">
        <v>8.3975168100000008</v>
      </c>
      <c r="AB108">
        <v>6.0402761219999999</v>
      </c>
      <c r="AC108">
        <v>4.5746434889999996</v>
      </c>
      <c r="AD108">
        <v>3.3097730200000002</v>
      </c>
      <c r="AE108">
        <v>3.9425832710000002</v>
      </c>
      <c r="AF108">
        <v>3.3293730300000002</v>
      </c>
      <c r="AG108">
        <v>2.6376875150000001</v>
      </c>
      <c r="AH108">
        <v>6.0851799350000002</v>
      </c>
      <c r="AI108">
        <v>8.5802725550000005</v>
      </c>
      <c r="AJ108">
        <v>2.6365608119999999</v>
      </c>
      <c r="AK108">
        <v>6.8125018859999997</v>
      </c>
      <c r="AL108">
        <v>6.6438912170000002</v>
      </c>
      <c r="AM108">
        <v>5.167823705</v>
      </c>
      <c r="AN108">
        <v>4.4206801430000002</v>
      </c>
      <c r="AO108">
        <v>3.133850121</v>
      </c>
      <c r="AP108">
        <v>3.9123341790000001</v>
      </c>
      <c r="AQ108">
        <v>4.6683195209999999</v>
      </c>
      <c r="AR108">
        <v>4.063347813</v>
      </c>
      <c r="AT108">
        <v>1.872801838</v>
      </c>
    </row>
    <row r="109" spans="1:46" x14ac:dyDescent="0.2">
      <c r="A109" s="9" t="s">
        <v>320</v>
      </c>
      <c r="B109">
        <v>5.046029549</v>
      </c>
      <c r="C109">
        <v>4.2977825049999998</v>
      </c>
      <c r="D109">
        <v>4.9989714279999999</v>
      </c>
      <c r="E109">
        <v>12.17497346</v>
      </c>
      <c r="F109">
        <v>6.4854294970000002</v>
      </c>
      <c r="G109">
        <v>7.0178529300000001</v>
      </c>
      <c r="H109">
        <v>12.029119250000001</v>
      </c>
      <c r="I109">
        <v>9.1474323020000003</v>
      </c>
      <c r="J109">
        <v>4.5008010560000002</v>
      </c>
      <c r="K109">
        <v>9.01215148</v>
      </c>
      <c r="L109">
        <v>12.91316973</v>
      </c>
      <c r="M109">
        <v>4.7716756890000003</v>
      </c>
      <c r="N109">
        <v>8.3265123980000002</v>
      </c>
      <c r="O109">
        <v>9.2428697670000002</v>
      </c>
      <c r="P109">
        <v>14.93504639</v>
      </c>
      <c r="Q109">
        <v>10.299496359999999</v>
      </c>
      <c r="R109">
        <v>9.1721903549999997</v>
      </c>
      <c r="S109">
        <v>20.248853650000001</v>
      </c>
      <c r="T109">
        <v>10.478138939999999</v>
      </c>
      <c r="U109">
        <v>16.314360090000001</v>
      </c>
      <c r="V109">
        <v>13.26252961</v>
      </c>
      <c r="W109">
        <v>18.57561681</v>
      </c>
      <c r="X109">
        <v>8.4203379599999995</v>
      </c>
      <c r="Y109">
        <v>15.6544642</v>
      </c>
      <c r="Z109">
        <v>24.723895580000001</v>
      </c>
      <c r="AA109">
        <v>17.63550068</v>
      </c>
      <c r="AB109">
        <v>13.21521984</v>
      </c>
      <c r="AC109">
        <v>12.468179449999999</v>
      </c>
      <c r="AD109">
        <v>8.5083074459999999</v>
      </c>
      <c r="AE109">
        <v>8.4400115519999996</v>
      </c>
      <c r="AF109">
        <v>8.9888336249999998</v>
      </c>
      <c r="AG109">
        <v>6.1153822890000002</v>
      </c>
      <c r="AH109">
        <v>14.794299779999999</v>
      </c>
      <c r="AI109">
        <v>17.57384128</v>
      </c>
      <c r="AJ109">
        <v>7.180375948</v>
      </c>
      <c r="AK109">
        <v>12.369985809999999</v>
      </c>
      <c r="AL109">
        <v>16.895571440000001</v>
      </c>
      <c r="AM109">
        <v>11.473906120000001</v>
      </c>
      <c r="AN109">
        <v>9.6299282420000001</v>
      </c>
      <c r="AO109">
        <v>10.06508831</v>
      </c>
      <c r="AP109">
        <v>9.4483764620000006</v>
      </c>
      <c r="AQ109">
        <v>10.31789122</v>
      </c>
      <c r="AR109">
        <v>11.77613931</v>
      </c>
      <c r="AT109">
        <v>13.34083873</v>
      </c>
    </row>
    <row r="110" spans="1:46" x14ac:dyDescent="0.2">
      <c r="A110" s="9" t="s">
        <v>321</v>
      </c>
      <c r="B110">
        <v>0.712637203</v>
      </c>
      <c r="C110">
        <v>0.83248726900000003</v>
      </c>
      <c r="D110">
        <v>1.1860616669999999</v>
      </c>
      <c r="E110">
        <v>5.02709458</v>
      </c>
      <c r="F110">
        <v>1.2230686630000001</v>
      </c>
      <c r="G110">
        <v>2.156339531</v>
      </c>
      <c r="H110">
        <v>3.4193063879999999</v>
      </c>
      <c r="I110">
        <v>2.303268815</v>
      </c>
      <c r="J110">
        <v>0.99784693700000004</v>
      </c>
      <c r="K110">
        <v>1.532262727</v>
      </c>
      <c r="L110">
        <v>3.65808205</v>
      </c>
      <c r="M110">
        <v>1.0637421439999999</v>
      </c>
      <c r="N110">
        <v>1.150158716</v>
      </c>
      <c r="O110">
        <v>2.1009054470000001</v>
      </c>
      <c r="P110">
        <v>2.731104255</v>
      </c>
      <c r="Q110">
        <v>2.4367925779999999</v>
      </c>
      <c r="R110">
        <v>1.98155938</v>
      </c>
      <c r="S110">
        <v>6.2088132539999998</v>
      </c>
      <c r="T110">
        <v>1.8929610750000001</v>
      </c>
      <c r="U110">
        <v>2.6521775839999999</v>
      </c>
      <c r="V110">
        <v>5.8632607759999997</v>
      </c>
      <c r="W110">
        <v>4.3980747039999999</v>
      </c>
      <c r="X110">
        <v>2.36183779</v>
      </c>
      <c r="Y110">
        <v>3.8858224570000002</v>
      </c>
      <c r="Z110">
        <v>5.7782978070000004</v>
      </c>
      <c r="AA110">
        <v>3.5737820500000002</v>
      </c>
      <c r="AB110">
        <v>3.0612170569999999</v>
      </c>
      <c r="AC110">
        <v>2.4289372330000001</v>
      </c>
      <c r="AD110">
        <v>2.517886716</v>
      </c>
      <c r="AE110">
        <v>1.7492642410000001</v>
      </c>
      <c r="AF110">
        <v>2.0907460599999999</v>
      </c>
      <c r="AG110">
        <v>1.4813089770000001</v>
      </c>
      <c r="AH110">
        <v>4.4437812430000001</v>
      </c>
      <c r="AI110">
        <v>5.590037895</v>
      </c>
      <c r="AJ110">
        <v>2.2907458940000001</v>
      </c>
      <c r="AK110">
        <v>4.1453925329999999</v>
      </c>
      <c r="AL110">
        <v>4.937737244</v>
      </c>
      <c r="AM110">
        <v>4.1789694920000002</v>
      </c>
      <c r="AN110">
        <v>2.150905598</v>
      </c>
      <c r="AO110">
        <v>2.1243740070000001</v>
      </c>
      <c r="AP110">
        <v>2.8551374969999999</v>
      </c>
      <c r="AQ110">
        <v>2.0486802700000002</v>
      </c>
      <c r="AR110">
        <v>2.6024043589999999</v>
      </c>
      <c r="AT110">
        <v>3.1832413110000002</v>
      </c>
    </row>
    <row r="111" spans="1:46" x14ac:dyDescent="0.2">
      <c r="A111" s="9" t="s">
        <v>322</v>
      </c>
      <c r="B111">
        <v>0.131312969</v>
      </c>
      <c r="C111">
        <v>0.104259331</v>
      </c>
      <c r="D111">
        <v>0.17123766300000001</v>
      </c>
      <c r="E111">
        <v>0.70628516600000002</v>
      </c>
      <c r="F111">
        <v>0.19674538599999999</v>
      </c>
      <c r="G111">
        <v>0.39688781499999998</v>
      </c>
      <c r="H111">
        <v>0.63241005100000003</v>
      </c>
      <c r="I111">
        <v>0.48931083600000003</v>
      </c>
      <c r="J111">
        <v>0.13531676100000001</v>
      </c>
      <c r="K111">
        <v>0.25642712600000001</v>
      </c>
      <c r="L111">
        <v>1.1078199820000001</v>
      </c>
      <c r="M111">
        <v>0.14602700499999999</v>
      </c>
      <c r="N111">
        <v>0.31718268399999999</v>
      </c>
      <c r="O111">
        <v>0.42369017599999997</v>
      </c>
      <c r="P111">
        <v>0.703838564</v>
      </c>
      <c r="Q111">
        <v>0.33701789300000001</v>
      </c>
      <c r="R111">
        <v>0.27083067799999999</v>
      </c>
      <c r="S111">
        <v>1.1629728699999999</v>
      </c>
      <c r="T111">
        <v>0.28605442800000003</v>
      </c>
      <c r="U111">
        <v>0.55104481800000005</v>
      </c>
      <c r="V111">
        <v>1.023762893</v>
      </c>
      <c r="W111">
        <v>0.69195261299999999</v>
      </c>
      <c r="X111">
        <v>0.24614940599999999</v>
      </c>
      <c r="Y111">
        <v>0.768385545</v>
      </c>
      <c r="Z111">
        <v>0.98975903600000004</v>
      </c>
      <c r="AA111">
        <v>0.71123454500000005</v>
      </c>
      <c r="AB111">
        <v>0.56240895199999996</v>
      </c>
      <c r="AC111">
        <v>0.45523056099999998</v>
      </c>
      <c r="AD111">
        <v>0.26543777800000001</v>
      </c>
      <c r="AE111">
        <v>0.25937233500000001</v>
      </c>
      <c r="AF111">
        <v>0.199523643</v>
      </c>
      <c r="AG111">
        <v>0.197934309</v>
      </c>
      <c r="AH111">
        <v>0.63539257400000004</v>
      </c>
      <c r="AI111">
        <v>1.7957477040000001</v>
      </c>
      <c r="AJ111">
        <v>0.22941561599999999</v>
      </c>
      <c r="AK111">
        <v>1.5797138630000001</v>
      </c>
      <c r="AL111">
        <v>0.79852107500000002</v>
      </c>
      <c r="AM111">
        <v>0.41652124099999999</v>
      </c>
      <c r="AN111">
        <v>0.376672852</v>
      </c>
      <c r="AO111">
        <v>0.243875011</v>
      </c>
      <c r="AP111">
        <v>0.50045788700000005</v>
      </c>
      <c r="AQ111">
        <v>0.50294588799999995</v>
      </c>
      <c r="AR111">
        <v>0.30462200900000003</v>
      </c>
      <c r="AT111">
        <v>7.5734847999999994E-2</v>
      </c>
    </row>
    <row r="112" spans="1:46" x14ac:dyDescent="0.2">
      <c r="A112" s="9" t="s">
        <v>323</v>
      </c>
      <c r="B112">
        <v>3.1291080569999998</v>
      </c>
      <c r="C112">
        <v>1.8674337649999999</v>
      </c>
      <c r="D112">
        <v>2.8174166349999998</v>
      </c>
      <c r="E112">
        <v>12.71048517</v>
      </c>
      <c r="F112">
        <v>3.5510541240000002</v>
      </c>
      <c r="G112">
        <v>5.5322285259999999</v>
      </c>
      <c r="H112">
        <v>9.3814053560000001</v>
      </c>
      <c r="I112">
        <v>8.5322973659999999</v>
      </c>
      <c r="J112">
        <v>1.1766381770000001</v>
      </c>
      <c r="K112">
        <v>4.5525882949999996</v>
      </c>
      <c r="L112">
        <v>15.15503268</v>
      </c>
      <c r="M112">
        <v>4.146736357</v>
      </c>
      <c r="N112">
        <v>4.9854717759999998</v>
      </c>
      <c r="O112">
        <v>9.1833945929999992</v>
      </c>
      <c r="P112">
        <v>9.5548747919999997</v>
      </c>
      <c r="Q112">
        <v>9.0373359840000003</v>
      </c>
      <c r="R112">
        <v>5.5523157000000003</v>
      </c>
      <c r="S112">
        <v>19.560565530000002</v>
      </c>
      <c r="T112">
        <v>6.6145787399999998</v>
      </c>
      <c r="U112">
        <v>12.93626961</v>
      </c>
      <c r="V112">
        <v>14.79089027</v>
      </c>
      <c r="W112">
        <v>14.21039485</v>
      </c>
      <c r="X112">
        <v>4.52206712</v>
      </c>
      <c r="Y112">
        <v>12.154642109999999</v>
      </c>
      <c r="Z112">
        <v>17.03565029</v>
      </c>
      <c r="AA112">
        <v>15.46877956</v>
      </c>
      <c r="AB112">
        <v>12.52064296</v>
      </c>
      <c r="AC112">
        <v>7.1127094829999997</v>
      </c>
      <c r="AD112">
        <v>5.2519293840000003</v>
      </c>
      <c r="AE112">
        <v>5.3650878789999998</v>
      </c>
      <c r="AF112">
        <v>5.3202101580000001</v>
      </c>
      <c r="AG112">
        <v>4.7532815150000003</v>
      </c>
      <c r="AH112">
        <v>12.953219430000001</v>
      </c>
      <c r="AI112">
        <v>23.837997380000001</v>
      </c>
      <c r="AJ112">
        <v>4.7060348120000004</v>
      </c>
      <c r="AK112">
        <v>14.80411095</v>
      </c>
      <c r="AL112">
        <v>12.01662969</v>
      </c>
      <c r="AM112">
        <v>8.5153939239999996</v>
      </c>
      <c r="AN112">
        <v>7.1890999850000004</v>
      </c>
      <c r="AO112">
        <v>5.8807688850000002</v>
      </c>
      <c r="AP112">
        <v>7.5963787639999998</v>
      </c>
      <c r="AQ112">
        <v>7.5013858899999999</v>
      </c>
      <c r="AR112">
        <v>6.1245237010000002</v>
      </c>
      <c r="AT112">
        <v>2.7602048959999999</v>
      </c>
    </row>
    <row r="113" spans="1:46" x14ac:dyDescent="0.2">
      <c r="A113" s="9" t="s">
        <v>324</v>
      </c>
      <c r="B113">
        <v>6.9764943510000004</v>
      </c>
      <c r="C113">
        <v>6.0514246119999999</v>
      </c>
      <c r="D113">
        <v>8.7809219459999994</v>
      </c>
      <c r="E113">
        <v>30.827765670000002</v>
      </c>
      <c r="F113">
        <v>7.3214872470000003</v>
      </c>
      <c r="G113">
        <v>17.748452329999999</v>
      </c>
      <c r="H113">
        <v>28.336874009999999</v>
      </c>
      <c r="I113">
        <v>17.70938348</v>
      </c>
      <c r="J113">
        <v>6.8828429130000002</v>
      </c>
      <c r="K113">
        <v>15.500942009999999</v>
      </c>
      <c r="L113">
        <v>20.806190950000001</v>
      </c>
      <c r="M113">
        <v>11.48096571</v>
      </c>
      <c r="N113">
        <v>14.106141600000001</v>
      </c>
      <c r="O113">
        <v>18.935184360000001</v>
      </c>
      <c r="P113">
        <v>24.44417674</v>
      </c>
      <c r="Q113">
        <v>16.174022529999998</v>
      </c>
      <c r="R113">
        <v>15.582345439999999</v>
      </c>
      <c r="S113">
        <v>51.373805879999999</v>
      </c>
      <c r="T113">
        <v>19.90176194</v>
      </c>
      <c r="U113">
        <v>29.12329557</v>
      </c>
      <c r="V113">
        <v>28.666666670000001</v>
      </c>
      <c r="W113">
        <v>32.792585129999999</v>
      </c>
      <c r="X113">
        <v>15.30840177</v>
      </c>
      <c r="Y113">
        <v>24.246914990000001</v>
      </c>
      <c r="Z113">
        <v>38.254649370000003</v>
      </c>
      <c r="AA113">
        <v>37.967773559999998</v>
      </c>
      <c r="AB113">
        <v>22.964690109999999</v>
      </c>
      <c r="AC113">
        <v>19.227459140000001</v>
      </c>
      <c r="AD113">
        <v>19.423771739999999</v>
      </c>
      <c r="AE113">
        <v>14.646587999999999</v>
      </c>
      <c r="AF113">
        <v>16.19929947</v>
      </c>
      <c r="AG113">
        <v>11.25257077</v>
      </c>
      <c r="AH113">
        <v>26.819965679999999</v>
      </c>
      <c r="AI113">
        <v>36.609240640000003</v>
      </c>
      <c r="AJ113">
        <v>13.306869649999999</v>
      </c>
      <c r="AK113">
        <v>23.139974649999999</v>
      </c>
      <c r="AL113">
        <v>29.873946270000001</v>
      </c>
      <c r="AM113">
        <v>25.6507611</v>
      </c>
      <c r="AN113">
        <v>23.09661899</v>
      </c>
      <c r="AO113">
        <v>16.842579539999999</v>
      </c>
      <c r="AP113">
        <v>18.48419634</v>
      </c>
      <c r="AQ113">
        <v>19.565582559999999</v>
      </c>
      <c r="AR113">
        <v>16.875247680000001</v>
      </c>
      <c r="AT113">
        <v>11.722098109999999</v>
      </c>
    </row>
    <row r="114" spans="1:46" x14ac:dyDescent="0.2">
      <c r="A114" s="9" t="s">
        <v>325</v>
      </c>
      <c r="B114">
        <v>2.8287008720000002</v>
      </c>
      <c r="C114">
        <v>3.088723973</v>
      </c>
      <c r="D114">
        <v>5.6624555399999998</v>
      </c>
      <c r="E114">
        <v>16.175007699999998</v>
      </c>
      <c r="F114">
        <v>5.693877176</v>
      </c>
      <c r="G114">
        <v>8.460288748</v>
      </c>
      <c r="H114">
        <v>15.23491604</v>
      </c>
      <c r="I114">
        <v>13.01572342</v>
      </c>
      <c r="J114">
        <v>4.3566400610000002</v>
      </c>
      <c r="K114">
        <v>8.5195928910000003</v>
      </c>
      <c r="L114">
        <v>18.121683709999999</v>
      </c>
      <c r="M114">
        <v>5.3036027629999998</v>
      </c>
      <c r="N114">
        <v>6.2879238170000002</v>
      </c>
      <c r="O114">
        <v>9.2999884739999992</v>
      </c>
      <c r="P114">
        <v>17.530988690000001</v>
      </c>
      <c r="Q114">
        <v>6.6494897279999998</v>
      </c>
      <c r="R114">
        <v>11.36360739</v>
      </c>
      <c r="S114">
        <v>33.111605439999998</v>
      </c>
      <c r="T114">
        <v>10.73976613</v>
      </c>
      <c r="U114">
        <v>11.93539717</v>
      </c>
      <c r="V114">
        <v>31.709771880000002</v>
      </c>
      <c r="W114">
        <v>20.244255519999999</v>
      </c>
      <c r="X114">
        <v>6.6110309359999997</v>
      </c>
      <c r="Y114">
        <v>19.36270086</v>
      </c>
      <c r="Z114">
        <v>34.454834720000001</v>
      </c>
      <c r="AA114">
        <v>23.558305099999998</v>
      </c>
      <c r="AB114">
        <v>22.29221295</v>
      </c>
      <c r="AC114">
        <v>11.354845429999999</v>
      </c>
      <c r="AD114">
        <v>8.9987444120000006</v>
      </c>
      <c r="AE114">
        <v>10.20844679</v>
      </c>
      <c r="AF114">
        <v>8.0896532400000005</v>
      </c>
      <c r="AG114">
        <v>6.9779820949999998</v>
      </c>
      <c r="AH114">
        <v>21.19199682</v>
      </c>
      <c r="AI114">
        <v>37.747558660000003</v>
      </c>
      <c r="AJ114">
        <v>9.7142876630000004</v>
      </c>
      <c r="AK114">
        <v>19.819911869999999</v>
      </c>
      <c r="AL114">
        <v>19.381842079999998</v>
      </c>
      <c r="AM114">
        <v>16.60413986</v>
      </c>
      <c r="AN114">
        <v>13.44007291</v>
      </c>
      <c r="AO114">
        <v>10.601943199999999</v>
      </c>
      <c r="AP114">
        <v>15.640649939999999</v>
      </c>
      <c r="AQ114">
        <v>12.57036005</v>
      </c>
      <c r="AR114">
        <v>14.600022859999999</v>
      </c>
      <c r="AT114">
        <v>11.69305525</v>
      </c>
    </row>
    <row r="115" spans="1:46" x14ac:dyDescent="0.2">
      <c r="A115" s="9" t="s">
        <v>326</v>
      </c>
      <c r="B115">
        <v>0.45846074599999997</v>
      </c>
      <c r="C115">
        <v>0.38705440600000002</v>
      </c>
      <c r="D115">
        <v>0.93341760799999995</v>
      </c>
      <c r="E115">
        <v>2.7427156209999999</v>
      </c>
      <c r="F115">
        <v>0.82727414600000004</v>
      </c>
      <c r="G115">
        <v>1.7648222010000001</v>
      </c>
      <c r="H115">
        <v>2.9729239679999999</v>
      </c>
      <c r="I115">
        <v>2.5111673030000001</v>
      </c>
      <c r="J115">
        <v>0.69174949100000005</v>
      </c>
      <c r="K115">
        <v>1.9999601259999999</v>
      </c>
      <c r="L115">
        <v>3.2284117380000001</v>
      </c>
      <c r="M115">
        <v>0.88279509700000003</v>
      </c>
      <c r="N115">
        <v>1.5969729029999999</v>
      </c>
      <c r="O115">
        <v>1.991854821</v>
      </c>
      <c r="P115">
        <v>3.2608719349999999</v>
      </c>
      <c r="Q115">
        <v>1.022425447</v>
      </c>
      <c r="R115">
        <v>1.7713936690000001</v>
      </c>
      <c r="S115">
        <v>4.438888586</v>
      </c>
      <c r="T115">
        <v>1.254060918</v>
      </c>
      <c r="U115">
        <v>2.389699571</v>
      </c>
      <c r="V115">
        <v>5.7661388100000002</v>
      </c>
      <c r="W115">
        <v>2.8027666999999998</v>
      </c>
      <c r="X115">
        <v>2.3374747450000002</v>
      </c>
      <c r="Y115">
        <v>3.9551374199999998</v>
      </c>
      <c r="Z115">
        <v>3.861383998</v>
      </c>
      <c r="AA115">
        <v>5.1738921080000004</v>
      </c>
      <c r="AB115">
        <v>3.1847437429999998</v>
      </c>
      <c r="AC115">
        <v>2.6776517119999999</v>
      </c>
      <c r="AD115">
        <v>1.8444261639999999</v>
      </c>
      <c r="AE115">
        <v>1.8238991120000001</v>
      </c>
      <c r="AF115">
        <v>1.8538704029999999</v>
      </c>
      <c r="AG115">
        <v>1.1653611180000001</v>
      </c>
      <c r="AH115">
        <v>4.1380039289999999</v>
      </c>
      <c r="AI115">
        <v>6.0811470630000004</v>
      </c>
      <c r="AJ115">
        <v>1.9816391120000001</v>
      </c>
      <c r="AK115">
        <v>4.318598895</v>
      </c>
      <c r="AL115">
        <v>5.1665762879999999</v>
      </c>
      <c r="AM115">
        <v>3.8658811540000002</v>
      </c>
      <c r="AN115">
        <v>2.8304569860000002</v>
      </c>
      <c r="AO115">
        <v>2.6147329589999999</v>
      </c>
      <c r="AP115">
        <v>2.9000104659999999</v>
      </c>
      <c r="AQ115">
        <v>3.1999860710000001</v>
      </c>
      <c r="AR115">
        <v>2.4838058219999999</v>
      </c>
      <c r="AT115">
        <v>2.4588612639999998</v>
      </c>
    </row>
    <row r="116" spans="1:46" x14ac:dyDescent="0.2">
      <c r="A116" s="9" t="s">
        <v>327</v>
      </c>
      <c r="B116">
        <v>4.5530626999999997E-2</v>
      </c>
      <c r="C116">
        <v>6.9997744000000001E-2</v>
      </c>
      <c r="D116">
        <v>0.28159326600000001</v>
      </c>
      <c r="E116">
        <v>0.26102785899999997</v>
      </c>
      <c r="F116">
        <v>0.12654080200000001</v>
      </c>
      <c r="G116">
        <v>0.28682658300000002</v>
      </c>
      <c r="H116">
        <v>0.56543036099999999</v>
      </c>
      <c r="I116">
        <v>0.57097145000000005</v>
      </c>
      <c r="J116">
        <v>7.1841268E-2</v>
      </c>
      <c r="K116">
        <v>0.32372379600000001</v>
      </c>
      <c r="L116">
        <v>0.41787724900000001</v>
      </c>
      <c r="M116">
        <v>0.16637421399999999</v>
      </c>
      <c r="N116">
        <v>0.31656622299999998</v>
      </c>
      <c r="O116">
        <v>0.38941895199999998</v>
      </c>
      <c r="P116">
        <v>0.656262605</v>
      </c>
      <c r="Q116">
        <v>0.12966202800000001</v>
      </c>
      <c r="R116">
        <v>0.31938602100000002</v>
      </c>
      <c r="S116">
        <v>1.060920356</v>
      </c>
      <c r="T116">
        <v>0.14883860400000001</v>
      </c>
      <c r="U116">
        <v>0.36695982599999999</v>
      </c>
      <c r="V116">
        <v>1.347453043</v>
      </c>
      <c r="W116">
        <v>0.40181427800000002</v>
      </c>
      <c r="X116">
        <v>0.47045472399999999</v>
      </c>
      <c r="Y116">
        <v>0.60619991699999998</v>
      </c>
      <c r="Z116">
        <v>0.58042941000000003</v>
      </c>
      <c r="AA116">
        <v>0.70614434800000003</v>
      </c>
      <c r="AB116">
        <v>0.70280426399999996</v>
      </c>
      <c r="AC116">
        <v>0.33171645700000002</v>
      </c>
      <c r="AD116">
        <v>0.355905052</v>
      </c>
      <c r="AE116">
        <v>0.393789367</v>
      </c>
      <c r="AF116">
        <v>0.47880910700000001</v>
      </c>
      <c r="AG116">
        <v>0.21027401400000001</v>
      </c>
      <c r="AH116">
        <v>1.3164092620000001</v>
      </c>
      <c r="AI116">
        <v>1.1763409119999999</v>
      </c>
      <c r="AJ116">
        <v>0.27792328300000002</v>
      </c>
      <c r="AK116">
        <v>1.1401255619999999</v>
      </c>
      <c r="AL116">
        <v>0.95720976099999999</v>
      </c>
      <c r="AM116">
        <v>0.95847398299999997</v>
      </c>
      <c r="AN116">
        <v>0.68283551499999995</v>
      </c>
      <c r="AO116">
        <v>0.53995861700000003</v>
      </c>
      <c r="AP116">
        <v>0.51109395899999999</v>
      </c>
      <c r="AQ116">
        <v>0.71652621999999999</v>
      </c>
      <c r="AR116">
        <v>0.48372961399999997</v>
      </c>
      <c r="AT116">
        <v>0.31276928500000001</v>
      </c>
    </row>
    <row r="117" spans="1:46" x14ac:dyDescent="0.2">
      <c r="A117" s="9" t="s">
        <v>328</v>
      </c>
      <c r="B117">
        <v>0.385658416</v>
      </c>
      <c r="C117">
        <v>0.210992393</v>
      </c>
      <c r="D117">
        <v>0.36504895500000001</v>
      </c>
      <c r="E117">
        <v>0.60198130500000002</v>
      </c>
      <c r="F117">
        <v>0.53179811499999996</v>
      </c>
      <c r="G117">
        <v>0.42815572200000002</v>
      </c>
      <c r="H117">
        <v>0.78247161799999998</v>
      </c>
      <c r="I117">
        <v>0.69672199000000001</v>
      </c>
      <c r="J117">
        <v>0.41922388199999999</v>
      </c>
      <c r="K117">
        <v>0.54547085699999998</v>
      </c>
      <c r="L117">
        <v>0.326315193</v>
      </c>
      <c r="M117">
        <v>0.82070810800000005</v>
      </c>
      <c r="N117">
        <v>0.530275567</v>
      </c>
      <c r="O117">
        <v>0.83536749399999999</v>
      </c>
      <c r="P117">
        <v>0.39677521300000002</v>
      </c>
      <c r="Q117">
        <v>0.77809145099999999</v>
      </c>
      <c r="R117">
        <v>0.98787975400000005</v>
      </c>
      <c r="S117">
        <v>0.59577487900000003</v>
      </c>
      <c r="T117">
        <v>1.1694562509999999</v>
      </c>
      <c r="U117">
        <v>1.07916696</v>
      </c>
      <c r="V117">
        <v>0.766866245</v>
      </c>
      <c r="W117">
        <v>0.70239712499999996</v>
      </c>
      <c r="X117">
        <v>0.60764608600000003</v>
      </c>
      <c r="Y117">
        <v>0.746552043</v>
      </c>
      <c r="Z117">
        <v>0.55202347900000004</v>
      </c>
      <c r="AA117">
        <v>0.579370948</v>
      </c>
      <c r="AB117">
        <v>0.61442193099999998</v>
      </c>
      <c r="AC117">
        <v>0.921057562</v>
      </c>
      <c r="AD117">
        <v>0.77549871699999995</v>
      </c>
      <c r="AE117">
        <v>1.2922270810000001</v>
      </c>
      <c r="AF117">
        <v>1.164595447</v>
      </c>
      <c r="AG117">
        <v>0.72734696300000001</v>
      </c>
      <c r="AH117">
        <v>0.84003581299999996</v>
      </c>
      <c r="AI117">
        <v>0.43189768299999998</v>
      </c>
      <c r="AJ117">
        <v>0.67509685200000003</v>
      </c>
      <c r="AK117">
        <v>0.43139355899999998</v>
      </c>
      <c r="AL117">
        <v>0.59336126899999997</v>
      </c>
      <c r="AM117">
        <v>0.71401821499999996</v>
      </c>
      <c r="AN117">
        <v>0.94804512399999996</v>
      </c>
      <c r="AO117">
        <v>1.0387591089999999</v>
      </c>
      <c r="AP117">
        <v>0.740717968</v>
      </c>
      <c r="AQ117">
        <v>0.63408315299999995</v>
      </c>
      <c r="AR117">
        <v>1.170896205</v>
      </c>
      <c r="AT117">
        <v>0.45522292800000003</v>
      </c>
    </row>
    <row r="118" spans="1:46" x14ac:dyDescent="0.2">
      <c r="A118" s="9" t="s">
        <v>329</v>
      </c>
      <c r="B118">
        <v>0.91941610100000004</v>
      </c>
      <c r="C118">
        <v>0.63940727100000005</v>
      </c>
      <c r="D118">
        <v>0.97027347500000005</v>
      </c>
      <c r="E118">
        <v>5.6456932860000002</v>
      </c>
      <c r="F118">
        <v>1.003405138</v>
      </c>
      <c r="G118">
        <v>4.0156957469999996</v>
      </c>
      <c r="H118">
        <v>3.8419820580000001</v>
      </c>
      <c r="I118">
        <v>2.9773987399999999</v>
      </c>
      <c r="J118">
        <v>0.90836794899999995</v>
      </c>
      <c r="K118">
        <v>2.0795578020000001</v>
      </c>
      <c r="L118">
        <v>9.5788469000000003</v>
      </c>
      <c r="M118">
        <v>1.0921162339999999</v>
      </c>
      <c r="N118">
        <v>1.790835902</v>
      </c>
      <c r="O118">
        <v>2.8955214319999998</v>
      </c>
      <c r="P118">
        <v>5.4301677799999997</v>
      </c>
      <c r="Q118">
        <v>2.941153082</v>
      </c>
      <c r="R118">
        <v>1.492394306</v>
      </c>
      <c r="S118">
        <v>12.15900158</v>
      </c>
      <c r="T118">
        <v>2.0639870189999998</v>
      </c>
      <c r="U118">
        <v>4.7212129740000002</v>
      </c>
      <c r="V118">
        <v>6.9054520359999998</v>
      </c>
      <c r="W118">
        <v>7.933973151</v>
      </c>
      <c r="X118">
        <v>2.0526357220000002</v>
      </c>
      <c r="Y118">
        <v>5.2308031709999998</v>
      </c>
      <c r="Z118">
        <v>9.6981773249999996</v>
      </c>
      <c r="AA118">
        <v>6.5524582550000003</v>
      </c>
      <c r="AB118">
        <v>4.2564892070000004</v>
      </c>
      <c r="AC118">
        <v>3.2108254399999998</v>
      </c>
      <c r="AD118">
        <v>1.190946778</v>
      </c>
      <c r="AE118">
        <v>2.207965454</v>
      </c>
      <c r="AF118">
        <v>1.2925814360000001</v>
      </c>
      <c r="AG118">
        <v>2.0205964189999999</v>
      </c>
      <c r="AH118">
        <v>3.9284488550000001</v>
      </c>
      <c r="AI118">
        <v>8.4769895060000007</v>
      </c>
      <c r="AJ118">
        <v>1.1486604460000001</v>
      </c>
      <c r="AK118">
        <v>4.0428752530000001</v>
      </c>
      <c r="AL118">
        <v>7.2247144849999998</v>
      </c>
      <c r="AM118">
        <v>3.1840010190000001</v>
      </c>
      <c r="AN118">
        <v>2.2658828550000001</v>
      </c>
      <c r="AO118">
        <v>1.7800251899999999</v>
      </c>
      <c r="AP118">
        <v>1.921348021</v>
      </c>
      <c r="AQ118">
        <v>3.2752698659999999</v>
      </c>
      <c r="AR118">
        <v>2.1242379210000002</v>
      </c>
      <c r="AT118">
        <v>0.630501388</v>
      </c>
    </row>
    <row r="119" spans="1:46" x14ac:dyDescent="0.2">
      <c r="A119" s="9" t="s">
        <v>330</v>
      </c>
      <c r="B119">
        <v>1.062831944</v>
      </c>
      <c r="C119">
        <v>1.340770644</v>
      </c>
      <c r="D119">
        <v>1.1826304759999999</v>
      </c>
      <c r="E119">
        <v>7.8059553289999997</v>
      </c>
      <c r="F119">
        <v>1.7935623620000001</v>
      </c>
      <c r="G119">
        <v>6.3236110329999997</v>
      </c>
      <c r="H119">
        <v>9.0589421269999999</v>
      </c>
      <c r="I119">
        <v>3.7462369550000001</v>
      </c>
      <c r="J119">
        <v>1.489144067</v>
      </c>
      <c r="K119">
        <v>3.0522344170000002</v>
      </c>
      <c r="L119">
        <v>8.9484275919999998</v>
      </c>
      <c r="M119">
        <v>1.227789185</v>
      </c>
      <c r="N119">
        <v>2.326217969</v>
      </c>
      <c r="O119">
        <v>5.3003470669999997</v>
      </c>
      <c r="P119">
        <v>6.8332661049999999</v>
      </c>
      <c r="Q119">
        <v>3.1324718360000001</v>
      </c>
      <c r="R119">
        <v>3.0180369659999999</v>
      </c>
      <c r="S119">
        <v>13.254121400000001</v>
      </c>
      <c r="T119">
        <v>3.0652039719999999</v>
      </c>
      <c r="U119">
        <v>3.740068951</v>
      </c>
      <c r="V119">
        <v>9.3219368439999997</v>
      </c>
      <c r="W119">
        <v>9.1233328950000008</v>
      </c>
      <c r="X119">
        <v>4.5484112200000002</v>
      </c>
      <c r="Y119">
        <v>7.78193541</v>
      </c>
      <c r="Z119">
        <v>10.82471424</v>
      </c>
      <c r="AA119">
        <v>10.74765696</v>
      </c>
      <c r="AB119">
        <v>8.3358992189999999</v>
      </c>
      <c r="AC119">
        <v>4.9055272199999997</v>
      </c>
      <c r="AD119">
        <v>1.645621137</v>
      </c>
      <c r="AE119">
        <v>2.7414940730000001</v>
      </c>
      <c r="AF119">
        <v>1.5810437829999999</v>
      </c>
      <c r="AG119">
        <v>2.8985452459999999</v>
      </c>
      <c r="AH119">
        <v>7.0975527869999997</v>
      </c>
      <c r="AI119">
        <v>13.66721323</v>
      </c>
      <c r="AJ119">
        <v>1.9557892729999999</v>
      </c>
      <c r="AK119">
        <v>6.1896562130000001</v>
      </c>
      <c r="AL119">
        <v>12.05406294</v>
      </c>
      <c r="AM119">
        <v>6.6039615310000004</v>
      </c>
      <c r="AN119">
        <v>4.3367707190000004</v>
      </c>
      <c r="AO119">
        <v>3.1987435149999999</v>
      </c>
      <c r="AP119">
        <v>4.0858996830000001</v>
      </c>
      <c r="AQ119">
        <v>6.5607772129999997</v>
      </c>
      <c r="AR119">
        <v>3.1766308489999999</v>
      </c>
      <c r="AT119">
        <v>1.593192481</v>
      </c>
    </row>
    <row r="120" spans="1:46" x14ac:dyDescent="0.2">
      <c r="A120" s="9" t="s">
        <v>331</v>
      </c>
      <c r="B120">
        <v>0.24864808299999999</v>
      </c>
      <c r="C120">
        <v>0.18494972000000001</v>
      </c>
      <c r="D120">
        <v>0.33539309499999997</v>
      </c>
      <c r="E120">
        <v>1.3564295420000001</v>
      </c>
      <c r="F120">
        <v>0.36906739599999999</v>
      </c>
      <c r="G120">
        <v>1.099994382</v>
      </c>
      <c r="H120">
        <v>1.3304601979999999</v>
      </c>
      <c r="I120">
        <v>1.079885982</v>
      </c>
      <c r="J120">
        <v>0.20472948999999999</v>
      </c>
      <c r="K120">
        <v>0.79981458800000005</v>
      </c>
      <c r="L120">
        <v>2.0114776110000001</v>
      </c>
      <c r="M120">
        <v>0.30332897800000003</v>
      </c>
      <c r="N120">
        <v>0.73920044200000001</v>
      </c>
      <c r="O120">
        <v>1.1013152669999999</v>
      </c>
      <c r="P120">
        <v>1.9775420539999999</v>
      </c>
      <c r="Q120">
        <v>0.53724320699999994</v>
      </c>
      <c r="R120">
        <v>0.80127469699999998</v>
      </c>
      <c r="S120">
        <v>3.6903351710000001</v>
      </c>
      <c r="T120">
        <v>0.46566958899999999</v>
      </c>
      <c r="U120">
        <v>1.028790544</v>
      </c>
      <c r="V120">
        <v>2.1156808979999999</v>
      </c>
      <c r="W120">
        <v>1.8746366329999999</v>
      </c>
      <c r="X120">
        <v>0.66353546200000002</v>
      </c>
      <c r="Y120">
        <v>1.8744360149999999</v>
      </c>
      <c r="Z120">
        <v>2.2685511279999999</v>
      </c>
      <c r="AA120">
        <v>3.3617478630000002</v>
      </c>
      <c r="AB120">
        <v>1.9377565889999999</v>
      </c>
      <c r="AC120">
        <v>0.90844176099999996</v>
      </c>
      <c r="AD120">
        <v>0.49515624499999999</v>
      </c>
      <c r="AE120">
        <v>0.800506092</v>
      </c>
      <c r="AF120">
        <v>0.50811908900000002</v>
      </c>
      <c r="AG120">
        <v>0.39905940000000001</v>
      </c>
      <c r="AH120">
        <v>1.662003532</v>
      </c>
      <c r="AI120">
        <v>2.9388937469999998</v>
      </c>
      <c r="AJ120">
        <v>0.46022262200000003</v>
      </c>
      <c r="AK120">
        <v>1.8563279100000001</v>
      </c>
      <c r="AL120">
        <v>2.7735272370000001</v>
      </c>
      <c r="AM120">
        <v>1.3587669579999999</v>
      </c>
      <c r="AN120">
        <v>1.027192565</v>
      </c>
      <c r="AO120">
        <v>0.69806879200000005</v>
      </c>
      <c r="AP120">
        <v>0.80747795600000005</v>
      </c>
      <c r="AQ120">
        <v>1.3939689390000001</v>
      </c>
      <c r="AR120">
        <v>0.750057156</v>
      </c>
      <c r="AT120">
        <v>1.2081830659999999</v>
      </c>
    </row>
    <row r="121" spans="1:46" x14ac:dyDescent="0.2">
      <c r="A121" s="15" t="s">
        <v>105</v>
      </c>
      <c r="B121" s="3">
        <v>8.5099461314738847E-2</v>
      </c>
      <c r="C121" s="3">
        <v>0.12889191205554426</v>
      </c>
      <c r="D121" s="3">
        <v>8.1054253632868042E-2</v>
      </c>
      <c r="E121" s="3">
        <v>0.13834774752249576</v>
      </c>
      <c r="F121" s="3">
        <v>0.14734852427680478</v>
      </c>
      <c r="G121" s="3">
        <v>7.6317989522344559E-2</v>
      </c>
      <c r="H121" s="3">
        <v>3.594597103108841E-2</v>
      </c>
      <c r="I121" s="3">
        <v>0.11069105901504236</v>
      </c>
      <c r="J121" s="3">
        <v>0.10528255612461716</v>
      </c>
      <c r="K121" s="3">
        <v>8.8081156384634332E-2</v>
      </c>
      <c r="L121" s="3">
        <v>5.6783571889511317E-2</v>
      </c>
      <c r="M121" s="3">
        <v>5.3077633299467533E-2</v>
      </c>
      <c r="N121" s="3">
        <v>9.6095464654746068E-2</v>
      </c>
      <c r="O121" s="3">
        <v>0.10579215890972415</v>
      </c>
      <c r="P121" s="3">
        <v>7.4794348208892192E-2</v>
      </c>
      <c r="Q121" s="3">
        <v>5.9400517718285431E-2</v>
      </c>
      <c r="R121" s="3">
        <v>5.2453665815554995E-2</v>
      </c>
      <c r="S121" s="3">
        <v>6.2711929596827629E-2</v>
      </c>
      <c r="T121" s="3">
        <v>3.113968987402678E-2</v>
      </c>
      <c r="U121" s="3">
        <v>7.3946277999736382E-2</v>
      </c>
      <c r="V121" s="3">
        <v>0.13474323678466404</v>
      </c>
      <c r="W121" s="3">
        <v>6.5516266142312304E-2</v>
      </c>
      <c r="X121" s="3">
        <v>4.0079923065986386E-2</v>
      </c>
      <c r="Y121" s="3">
        <v>6.2722459192807375E-2</v>
      </c>
      <c r="Z121" s="3">
        <v>4.4072420696264568E-2</v>
      </c>
      <c r="AA121" s="3">
        <v>2.3710008695783654E-2</v>
      </c>
      <c r="AB121" s="3">
        <v>2.5799492230857302E-2</v>
      </c>
      <c r="AC121" s="3">
        <v>6.6378500661956219E-2</v>
      </c>
      <c r="AD121" s="3">
        <v>0.23130222194853226</v>
      </c>
      <c r="AE121" s="3">
        <v>3.5431582634318518E-2</v>
      </c>
      <c r="AF121" s="3">
        <v>0.22384680615060568</v>
      </c>
      <c r="AG121" s="3">
        <v>6.2688061193267239E-2</v>
      </c>
      <c r="AH121" s="3">
        <v>0.10410082400898246</v>
      </c>
      <c r="AI121" s="3">
        <v>5.7830413433516831E-2</v>
      </c>
      <c r="AJ121" s="3">
        <v>9.564119972176309E-2</v>
      </c>
      <c r="AK121" s="3">
        <v>8.1494711211774165E-2</v>
      </c>
      <c r="AL121" s="3">
        <v>5.0187812375090866E-2</v>
      </c>
      <c r="AM121" s="3">
        <v>0.12487448840246615</v>
      </c>
      <c r="AN121" s="3">
        <v>3.7100696938114956E-2</v>
      </c>
      <c r="AO121" s="3">
        <v>4.920306819113042E-2</v>
      </c>
      <c r="AP121" s="3">
        <v>9.9894342844238301E-2</v>
      </c>
      <c r="AQ121" s="3">
        <v>5.5121197206997222E-2</v>
      </c>
      <c r="AR121" s="3">
        <v>9.7100606795138614E-2</v>
      </c>
      <c r="AT121" s="3">
        <v>4.4195875317938879E-2</v>
      </c>
    </row>
    <row r="122" spans="1:46" x14ac:dyDescent="0.2">
      <c r="A122" s="15" t="s">
        <v>106</v>
      </c>
      <c r="B122" s="3">
        <v>0.10030165012666323</v>
      </c>
      <c r="C122" s="3">
        <v>0.10318894572640029</v>
      </c>
      <c r="D122" s="3">
        <v>0.14147543450671179</v>
      </c>
      <c r="E122" s="3">
        <v>0.13785886910541881</v>
      </c>
      <c r="F122" s="3">
        <v>0.16218610278849582</v>
      </c>
      <c r="G122" s="3">
        <v>0.17718276977373851</v>
      </c>
      <c r="H122" s="3">
        <v>7.896590182401042E-2</v>
      </c>
      <c r="I122" s="3">
        <v>0.24433217394474044</v>
      </c>
      <c r="J122" s="3">
        <v>0.1950769927238245</v>
      </c>
      <c r="K122" s="3">
        <v>0.11384181580992224</v>
      </c>
      <c r="L122" s="3">
        <v>6.1905331575534163E-2</v>
      </c>
      <c r="M122" s="3">
        <v>0.16381890161871399</v>
      </c>
      <c r="N122" s="3">
        <v>0.10864647137703742</v>
      </c>
      <c r="O122" s="3">
        <v>0.31006233490998147</v>
      </c>
      <c r="P122" s="3">
        <v>0.16683473007170677</v>
      </c>
      <c r="Q122" s="3">
        <v>7.241316155514517E-2</v>
      </c>
      <c r="R122" s="3">
        <v>9.7521046341577017E-2</v>
      </c>
      <c r="S122" s="3">
        <v>5.4800827417575172E-2</v>
      </c>
      <c r="T122" s="3">
        <v>5.352509946880718E-2</v>
      </c>
      <c r="U122" s="3">
        <v>0.15648814551155296</v>
      </c>
      <c r="V122" s="3">
        <v>0.1988883392965394</v>
      </c>
      <c r="W122" s="3">
        <v>8.8900861442658741E-2</v>
      </c>
      <c r="X122" s="3">
        <v>0.12180368595116389</v>
      </c>
      <c r="Y122" s="3">
        <v>0.1356234467555997</v>
      </c>
      <c r="Z122" s="3">
        <v>9.3491519911052354E-2</v>
      </c>
      <c r="AA122" s="3">
        <v>7.6101916073697415E-2</v>
      </c>
      <c r="AB122" s="3">
        <v>5.6977731938513243E-2</v>
      </c>
      <c r="AC122" s="3">
        <v>0.12214774517814173</v>
      </c>
      <c r="AD122" s="3">
        <v>0.4597863240425093</v>
      </c>
      <c r="AE122" s="3">
        <v>0.23619665707957863</v>
      </c>
      <c r="AF122" s="3">
        <v>0.35470498628973401</v>
      </c>
      <c r="AG122" s="3">
        <v>7.0710690503539606E-2</v>
      </c>
      <c r="AH122" s="3">
        <v>0.26799838984303714</v>
      </c>
      <c r="AI122" s="3">
        <v>0.13647157087794665</v>
      </c>
      <c r="AJ122" s="3">
        <v>0.18401836471584063</v>
      </c>
      <c r="AK122" s="3">
        <v>0.12484819464977155</v>
      </c>
      <c r="AL122" s="3">
        <v>9.7429130038138426E-2</v>
      </c>
      <c r="AM122" s="3">
        <v>0.19752880170436085</v>
      </c>
      <c r="AN122" s="3">
        <v>7.4874280485769662E-2</v>
      </c>
      <c r="AO122" s="3">
        <v>0.17024242754749178</v>
      </c>
      <c r="AP122" s="3">
        <v>0.23522374154737066</v>
      </c>
      <c r="AQ122" s="3">
        <v>7.4750452431053327E-2</v>
      </c>
      <c r="AR122" s="3">
        <v>0.19123509523710991</v>
      </c>
      <c r="AT122" s="3">
        <v>4.3687994192747902E-2</v>
      </c>
    </row>
    <row r="123" spans="1:46" x14ac:dyDescent="0.2">
      <c r="A123" s="15" t="s">
        <v>107</v>
      </c>
      <c r="B123" s="3">
        <v>8.4042640569680513E-2</v>
      </c>
      <c r="C123" s="3">
        <v>0.10082888840265877</v>
      </c>
      <c r="D123" s="3">
        <v>9.0009017268167263E-2</v>
      </c>
      <c r="E123" s="3">
        <v>0.114907577616817</v>
      </c>
      <c r="F123" s="3">
        <v>9.0414169834297037E-2</v>
      </c>
      <c r="G123" s="3">
        <v>5.962883408860753E-2</v>
      </c>
      <c r="H123" s="3">
        <v>0.16506898120307631</v>
      </c>
      <c r="I123" s="3">
        <v>0.10890370766874888</v>
      </c>
      <c r="J123" s="3">
        <v>0.10613466261945255</v>
      </c>
      <c r="K123" s="3">
        <v>9.2583954408928137E-2</v>
      </c>
      <c r="L123" s="3">
        <v>0.11835749628376004</v>
      </c>
      <c r="M123" s="3">
        <v>7.3574265218706539E-2</v>
      </c>
      <c r="N123" s="3">
        <v>0.10357736340248801</v>
      </c>
      <c r="O123" s="3">
        <v>9.4339062130997964E-2</v>
      </c>
      <c r="P123" s="3">
        <v>0.16625401915961982</v>
      </c>
      <c r="Q123" s="3">
        <v>0.11283056792960806</v>
      </c>
      <c r="R123" s="3">
        <v>7.5275779470895254E-2</v>
      </c>
      <c r="S123" s="3">
        <v>0.10769060193452783</v>
      </c>
      <c r="T123" s="3">
        <v>8.5841518696934543E-2</v>
      </c>
      <c r="U123" s="3">
        <v>9.3217163727848426E-2</v>
      </c>
      <c r="V123" s="3">
        <v>0.15279693340418823</v>
      </c>
      <c r="W123" s="3">
        <v>0.14515530923655398</v>
      </c>
      <c r="X123" s="3">
        <v>7.5874110851100948E-2</v>
      </c>
      <c r="Y123" s="3">
        <v>0.10543936637584045</v>
      </c>
      <c r="Z123" s="3">
        <v>8.058536891924023E-2</v>
      </c>
      <c r="AA123" s="3">
        <v>0.10704329115566107</v>
      </c>
      <c r="AB123" s="3">
        <v>7.1565801045462882E-2</v>
      </c>
      <c r="AC123" s="3">
        <v>8.4426284540514304E-2</v>
      </c>
      <c r="AD123" s="3">
        <v>0.10256796317181043</v>
      </c>
      <c r="AE123" s="3">
        <v>0.11530125811710448</v>
      </c>
      <c r="AF123" s="3">
        <v>7.6544497013165277E-2</v>
      </c>
      <c r="AG123" s="3">
        <v>5.7686251011407168E-2</v>
      </c>
      <c r="AH123" s="3">
        <v>9.7080950353356191E-2</v>
      </c>
      <c r="AI123" s="3">
        <v>6.473540723903902E-2</v>
      </c>
      <c r="AJ123" s="3">
        <v>7.6469482775862255E-2</v>
      </c>
      <c r="AK123" s="3">
        <v>8.0601028885675011E-2</v>
      </c>
      <c r="AL123" s="3">
        <v>0.12771337558412091</v>
      </c>
      <c r="AM123" s="3">
        <v>4.2331616931602777E-2</v>
      </c>
      <c r="AN123" s="3">
        <v>6.5484846218711257E-2</v>
      </c>
      <c r="AO123" s="3">
        <v>6.1400761306911168E-2</v>
      </c>
      <c r="AP123" s="3">
        <v>0.12296836894575748</v>
      </c>
      <c r="AQ123" s="3">
        <v>9.6221383471274818E-2</v>
      </c>
      <c r="AR123" s="3">
        <v>9.1933635286530438E-2</v>
      </c>
      <c r="AT123" s="3">
        <v>8.2017809960552482E-2</v>
      </c>
    </row>
    <row r="124" spans="1:46" x14ac:dyDescent="0.2">
      <c r="A124" s="15" t="s">
        <v>108</v>
      </c>
      <c r="B124" s="3">
        <v>0.64910994438598335</v>
      </c>
      <c r="C124" s="3">
        <v>0.52021272548866837</v>
      </c>
      <c r="D124" s="3">
        <v>0.51430459433670472</v>
      </c>
      <c r="E124" s="3">
        <v>0.60911253979932334</v>
      </c>
      <c r="F124" s="3">
        <v>0.90937735459266078</v>
      </c>
      <c r="G124" s="3">
        <v>0.40064290661409274</v>
      </c>
      <c r="H124" s="3">
        <v>0.35735079605101694</v>
      </c>
      <c r="I124" s="3">
        <v>0.57735593717741607</v>
      </c>
      <c r="J124" s="3">
        <v>0.62849187877572077</v>
      </c>
      <c r="K124" s="3">
        <v>0.34624540175923552</v>
      </c>
      <c r="L124" s="3">
        <v>0.44066632713907744</v>
      </c>
      <c r="M124" s="3">
        <v>0.27781488402718624</v>
      </c>
      <c r="N124" s="3">
        <v>0.50075706534181275</v>
      </c>
      <c r="O124" s="3">
        <v>0.40267761843567706</v>
      </c>
      <c r="P124" s="3">
        <v>0.54416094888048128</v>
      </c>
      <c r="Q124" s="3">
        <v>0.63855768544585911</v>
      </c>
      <c r="R124" s="3">
        <v>0.44570470293369086</v>
      </c>
      <c r="S124" s="3">
        <v>0.49089634556627953</v>
      </c>
      <c r="T124" s="3">
        <v>0.40296498021075322</v>
      </c>
      <c r="U124" s="3">
        <v>0.57653725414858004</v>
      </c>
      <c r="V124" s="3">
        <v>0.43201567751912862</v>
      </c>
      <c r="W124" s="3">
        <v>0.49293992275077497</v>
      </c>
      <c r="X124" s="3">
        <v>0.30842489727877165</v>
      </c>
      <c r="Y124" s="3">
        <v>0.47294413715767952</v>
      </c>
      <c r="Z124" s="3">
        <v>0.66029695725270321</v>
      </c>
      <c r="AA124" s="3">
        <v>0.3340601711060619</v>
      </c>
      <c r="AB124" s="3">
        <v>0.28263086958953731</v>
      </c>
      <c r="AC124" s="3">
        <v>0.35556697983896968</v>
      </c>
      <c r="AD124" s="3">
        <v>0.52308780045375303</v>
      </c>
      <c r="AE124" s="3">
        <v>0.397096331650995</v>
      </c>
      <c r="AF124" s="3">
        <v>0.44570249181363908</v>
      </c>
      <c r="AG124" s="3">
        <v>0.27095466379024358</v>
      </c>
      <c r="AH124" s="3">
        <v>0.51585694769533286</v>
      </c>
      <c r="AI124" s="3">
        <v>0.39790089907866832</v>
      </c>
      <c r="AJ124" s="3">
        <v>0.44013472631942369</v>
      </c>
      <c r="AK124" s="3">
        <v>0.57720717113905862</v>
      </c>
      <c r="AL124" s="3">
        <v>0.35574411349939788</v>
      </c>
      <c r="AM124" s="3">
        <v>0.39498275356524526</v>
      </c>
      <c r="AN124" s="3">
        <v>0.35054859445043679</v>
      </c>
      <c r="AO124" s="3">
        <v>0.35160871036994634</v>
      </c>
      <c r="AP124" s="3">
        <v>0.55883904284424013</v>
      </c>
      <c r="AQ124" s="3">
        <v>0.42024825897621798</v>
      </c>
      <c r="AR124" s="3">
        <v>0.28035755070798196</v>
      </c>
      <c r="AT124" s="3">
        <v>0.29717836995241348</v>
      </c>
    </row>
    <row r="125" spans="1:46" x14ac:dyDescent="0.2">
      <c r="A125" s="15" t="s">
        <v>109</v>
      </c>
      <c r="B125" s="3">
        <v>1.0638749913586065</v>
      </c>
      <c r="C125" s="3">
        <v>1.2060305130604587</v>
      </c>
      <c r="D125" s="3">
        <v>0.96149307335349377</v>
      </c>
      <c r="E125" s="3">
        <v>1.1175266049076837</v>
      </c>
      <c r="F125" s="3">
        <v>1.2596759657205845</v>
      </c>
      <c r="G125" s="3">
        <v>0.95213310755685177</v>
      </c>
      <c r="H125" s="3">
        <v>0.62832586245429944</v>
      </c>
      <c r="I125" s="3">
        <v>0.85838309873204977</v>
      </c>
      <c r="J125" s="3">
        <v>1.1031800963356799</v>
      </c>
      <c r="K125" s="3">
        <v>0.61524204666186588</v>
      </c>
      <c r="L125" s="3">
        <v>0.63437761744017185</v>
      </c>
      <c r="M125" s="3">
        <v>0.79051240106410336</v>
      </c>
      <c r="N125" s="3">
        <v>0.60721666783381245</v>
      </c>
      <c r="O125" s="3">
        <v>1.035201005895972</v>
      </c>
      <c r="P125" s="3">
        <v>1.0206159896685283</v>
      </c>
      <c r="Q125" s="3">
        <v>0.58607244749942655</v>
      </c>
      <c r="R125" s="3">
        <v>0.74086418503897999</v>
      </c>
      <c r="S125" s="3">
        <v>1.0404689054362188</v>
      </c>
      <c r="T125" s="3">
        <v>0.3450825392619245</v>
      </c>
      <c r="U125" s="3">
        <v>0.9089333494282319</v>
      </c>
      <c r="V125" s="3">
        <v>1.1718759259343825</v>
      </c>
      <c r="W125" s="3">
        <v>0.92897639461609827</v>
      </c>
      <c r="X125" s="3">
        <v>0.56975411416483657</v>
      </c>
      <c r="Y125" s="3">
        <v>0.68361986883499504</v>
      </c>
      <c r="Z125" s="3">
        <v>0.90103410743489776</v>
      </c>
      <c r="AA125" s="3">
        <v>0.48018126524514948</v>
      </c>
      <c r="AB125" s="3">
        <v>0.59185277572289152</v>
      </c>
      <c r="AC125" s="3">
        <v>0.54293490632231012</v>
      </c>
      <c r="AD125" s="3">
        <v>1.3239689254527505</v>
      </c>
      <c r="AE125" s="3">
        <v>0.68865755291267072</v>
      </c>
      <c r="AF125" s="3">
        <v>1.4082079787361828</v>
      </c>
      <c r="AG125" s="3">
        <v>0.58669377766980269</v>
      </c>
      <c r="AH125" s="3">
        <v>0.99788355287277086</v>
      </c>
      <c r="AI125" s="3">
        <v>0.5520321556296236</v>
      </c>
      <c r="AJ125" s="3">
        <v>0.9556749681395269</v>
      </c>
      <c r="AK125" s="3">
        <v>0.59721943717562154</v>
      </c>
      <c r="AL125" s="3">
        <v>0.54747636663357169</v>
      </c>
      <c r="AM125" s="3">
        <v>0.92018128098350827</v>
      </c>
      <c r="AN125" s="3">
        <v>0.35279127572738611</v>
      </c>
      <c r="AO125" s="3">
        <v>0.79233465887100096</v>
      </c>
      <c r="AP125" s="3">
        <v>0.95454457087097433</v>
      </c>
      <c r="AQ125" s="3">
        <v>0.73519294677623215</v>
      </c>
      <c r="AR125" s="3">
        <v>0.71046170582331614</v>
      </c>
      <c r="AT125" s="3">
        <v>0.42872537434257968</v>
      </c>
    </row>
    <row r="126" spans="1:46" x14ac:dyDescent="0.2">
      <c r="A126" s="15" t="s">
        <v>110</v>
      </c>
      <c r="B126" s="3">
        <v>1.0681911174874903</v>
      </c>
      <c r="C126" s="3">
        <v>0.9133769019662642</v>
      </c>
      <c r="D126" s="3">
        <v>0.63491152732135436</v>
      </c>
      <c r="E126" s="3">
        <v>0.954705185826761</v>
      </c>
      <c r="F126" s="3">
        <v>0.9288006300636471</v>
      </c>
      <c r="G126" s="3">
        <v>0.85792613813764995</v>
      </c>
      <c r="H126" s="3">
        <v>0.89932167458316004</v>
      </c>
      <c r="I126" s="3">
        <v>1.0253170673741945</v>
      </c>
      <c r="J126" s="3">
        <v>1.1804929261041603</v>
      </c>
      <c r="K126" s="3">
        <v>0.90673962567169464</v>
      </c>
      <c r="L126" s="3">
        <v>0.8476754952854556</v>
      </c>
      <c r="M126" s="3">
        <v>0.87257841104082656</v>
      </c>
      <c r="N126" s="3">
        <v>0.938897485286316</v>
      </c>
      <c r="O126" s="3">
        <v>1.2548859061679651</v>
      </c>
      <c r="P126" s="3">
        <v>1.2929326128445593</v>
      </c>
      <c r="Q126" s="3">
        <v>0.75029936543353171</v>
      </c>
      <c r="R126" s="3">
        <v>1.0159435221895066</v>
      </c>
      <c r="S126" s="3">
        <v>0.77506893274633548</v>
      </c>
      <c r="T126" s="3">
        <v>0.77936516125937039</v>
      </c>
      <c r="U126" s="3">
        <v>1.007839972267454</v>
      </c>
      <c r="V126" s="3">
        <v>0.94244090692358373</v>
      </c>
      <c r="W126" s="3">
        <v>1.1584122694764247</v>
      </c>
      <c r="X126" s="3">
        <v>0.91239725208225009</v>
      </c>
      <c r="Y126" s="3">
        <v>0.79731728648389177</v>
      </c>
      <c r="Z126" s="3">
        <v>0.81943251544131879</v>
      </c>
      <c r="AA126" s="3">
        <v>0.89097642082124395</v>
      </c>
      <c r="AB126" s="3">
        <v>1.0331602307232686</v>
      </c>
      <c r="AC126" s="3">
        <v>0.74379174787940783</v>
      </c>
      <c r="AD126" s="3">
        <v>0.95717146568383216</v>
      </c>
      <c r="AE126" s="3">
        <v>1.0542292347037128</v>
      </c>
      <c r="AF126" s="3">
        <v>0.96374860000120022</v>
      </c>
      <c r="AG126" s="3">
        <v>0.92139889585051415</v>
      </c>
      <c r="AH126" s="3">
        <v>0.92246675833924241</v>
      </c>
      <c r="AI126" s="3">
        <v>0.65223942738030583</v>
      </c>
      <c r="AJ126" s="3">
        <v>0.84854532906825686</v>
      </c>
      <c r="AK126" s="3">
        <v>0.89271925952239939</v>
      </c>
      <c r="AL126" s="3">
        <v>0.91053321859441871</v>
      </c>
      <c r="AM126" s="3">
        <v>0.74313577036144052</v>
      </c>
      <c r="AN126" s="3">
        <v>0.67710064661131997</v>
      </c>
      <c r="AO126" s="3">
        <v>0.99008610699674171</v>
      </c>
      <c r="AP126" s="3">
        <v>0.90265783853586967</v>
      </c>
      <c r="AQ126" s="3">
        <v>0.74145504028713516</v>
      </c>
      <c r="AR126" s="3">
        <v>0.71863994145217458</v>
      </c>
      <c r="AT126" s="3">
        <v>0.68804270119577526</v>
      </c>
    </row>
    <row r="127" spans="1:46" x14ac:dyDescent="0.2">
      <c r="A127" s="15" t="s">
        <v>111</v>
      </c>
      <c r="B127" s="3">
        <v>3.278302804267951</v>
      </c>
      <c r="C127" s="3">
        <v>3.8941511523821641</v>
      </c>
      <c r="D127" s="3">
        <v>3.1147295667187302</v>
      </c>
      <c r="E127" s="3">
        <v>5.6305646659488167</v>
      </c>
      <c r="F127" s="3">
        <v>3.6021107939921966</v>
      </c>
      <c r="G127" s="3">
        <v>1.8509404817692159</v>
      </c>
      <c r="H127" s="3">
        <v>4.5572010649179395</v>
      </c>
      <c r="I127" s="3">
        <v>2.4734859147437045</v>
      </c>
      <c r="J127" s="3">
        <v>2.9883768247964233</v>
      </c>
      <c r="K127" s="3">
        <v>3.6973914340624514</v>
      </c>
      <c r="L127" s="3">
        <v>5.5602327787997181</v>
      </c>
      <c r="M127" s="3">
        <v>2.2669531096016287</v>
      </c>
      <c r="N127" s="3">
        <v>2.8418026453370615</v>
      </c>
      <c r="O127" s="3">
        <v>2.0471583605366952</v>
      </c>
      <c r="P127" s="3">
        <v>3.8884934295713172</v>
      </c>
      <c r="Q127" s="3">
        <v>3.786693347017092</v>
      </c>
      <c r="R127" s="3">
        <v>2.194066022002036</v>
      </c>
      <c r="S127" s="3">
        <v>2.9433625577731641</v>
      </c>
      <c r="T127" s="3">
        <v>2.8933044475923637</v>
      </c>
      <c r="U127" s="3">
        <v>3.8034212183109264</v>
      </c>
      <c r="V127" s="3">
        <v>4.0713164768482129</v>
      </c>
      <c r="W127" s="3">
        <v>4.6300621980631123</v>
      </c>
      <c r="X127" s="3">
        <v>2.1748674605602543</v>
      </c>
      <c r="Y127" s="3">
        <v>4.4455045920842062</v>
      </c>
      <c r="Z127" s="3">
        <v>3.5272916926695137</v>
      </c>
      <c r="AA127" s="3">
        <v>2.4285099778201191</v>
      </c>
      <c r="AB127" s="3">
        <v>2.107644777617605</v>
      </c>
      <c r="AC127" s="3">
        <v>2.2616764742196782</v>
      </c>
      <c r="AD127" s="3">
        <v>2.5788440086628905</v>
      </c>
      <c r="AE127" s="3">
        <v>3.2698131868562315</v>
      </c>
      <c r="AF127" s="3">
        <v>1.9573782645387874</v>
      </c>
      <c r="AG127" s="3">
        <v>1.5210667718283486</v>
      </c>
      <c r="AH127" s="3">
        <v>2.8505789688082492</v>
      </c>
      <c r="AI127" s="3">
        <v>2.048627774890587</v>
      </c>
      <c r="AJ127" s="3">
        <v>2.1633687633165843</v>
      </c>
      <c r="AK127" s="3">
        <v>3.0840651040250679</v>
      </c>
      <c r="AL127" s="3">
        <v>2.8826046607081031</v>
      </c>
      <c r="AM127" s="3">
        <v>1.5467839130938885</v>
      </c>
      <c r="AN127" s="3">
        <v>1.8390284643498067</v>
      </c>
      <c r="AO127" s="3">
        <v>1.5700938937866704</v>
      </c>
      <c r="AP127" s="3">
        <v>3.244564701422429</v>
      </c>
      <c r="AQ127" s="3">
        <v>2.5252479579578582</v>
      </c>
      <c r="AR127" s="3">
        <v>2.1370541090127371</v>
      </c>
      <c r="AT127" s="3">
        <v>1.7274048663723742</v>
      </c>
    </row>
    <row r="128" spans="1:46" x14ac:dyDescent="0.2">
      <c r="A128" s="15" t="s">
        <v>112</v>
      </c>
      <c r="B128" s="3">
        <v>8.0092869685926793</v>
      </c>
      <c r="C128" s="3">
        <v>6.715414517626316</v>
      </c>
      <c r="D128" s="3">
        <v>4.9230862240349129</v>
      </c>
      <c r="E128" s="3">
        <v>8.6295760618645279</v>
      </c>
      <c r="F128" s="3">
        <v>6.7945975634367617</v>
      </c>
      <c r="G128" s="3">
        <v>4.2414394871705081</v>
      </c>
      <c r="H128" s="3">
        <v>5.6191913439302885</v>
      </c>
      <c r="I128" s="3">
        <v>6.9452059707780407</v>
      </c>
      <c r="J128" s="3">
        <v>8.0423127748838841</v>
      </c>
      <c r="K128" s="3">
        <v>5.5345305015854276</v>
      </c>
      <c r="L128" s="3">
        <v>6.1087646575782593</v>
      </c>
      <c r="M128" s="3">
        <v>4.4360616367816519</v>
      </c>
      <c r="N128" s="3">
        <v>4.5730993551784591</v>
      </c>
      <c r="O128" s="3">
        <v>6.1311109640629864</v>
      </c>
      <c r="P128" s="3">
        <v>6.1155586472442867</v>
      </c>
      <c r="Q128" s="3">
        <v>7.208599293772914</v>
      </c>
      <c r="R128" s="3">
        <v>6.1558785689625166</v>
      </c>
      <c r="S128" s="3">
        <v>6.1863834984028188</v>
      </c>
      <c r="T128" s="3">
        <v>4.6046085050502636</v>
      </c>
      <c r="U128" s="3">
        <v>7.3930392274005605</v>
      </c>
      <c r="V128" s="3">
        <v>5.1928930085052931</v>
      </c>
      <c r="W128" s="3">
        <v>7.2057506769161339</v>
      </c>
      <c r="X128" s="3">
        <v>3.6941980708495263</v>
      </c>
      <c r="Y128" s="3">
        <v>7.2870709631273547</v>
      </c>
      <c r="Z128" s="3">
        <v>8.142615773626277</v>
      </c>
      <c r="AA128" s="3">
        <v>4.7530405427107461</v>
      </c>
      <c r="AB128" s="3">
        <v>4.7344623946216036</v>
      </c>
      <c r="AC128" s="3">
        <v>4.1578714084187371</v>
      </c>
      <c r="AD128" s="3">
        <v>5.2703182617177351</v>
      </c>
      <c r="AE128" s="3">
        <v>5.1897741311033698</v>
      </c>
      <c r="AF128" s="3">
        <v>5.4454632911268215</v>
      </c>
      <c r="AG128" s="3">
        <v>3.9157367333419666</v>
      </c>
      <c r="AH128" s="3">
        <v>5.4873625482944188</v>
      </c>
      <c r="AI128" s="3">
        <v>4.8568118165050622</v>
      </c>
      <c r="AJ128" s="3">
        <v>5.413370664960147</v>
      </c>
      <c r="AK128" s="3">
        <v>5.742423194531427</v>
      </c>
      <c r="AL128" s="3">
        <v>4.517212405605286</v>
      </c>
      <c r="AM128" s="3">
        <v>4.9365624394248524</v>
      </c>
      <c r="AN128" s="3">
        <v>3.8300506729677815</v>
      </c>
      <c r="AO128" s="3">
        <v>4.2969365513427631</v>
      </c>
      <c r="AP128" s="3">
        <v>5.3687902398508172</v>
      </c>
      <c r="AQ128" s="3">
        <v>4.8586574354964309</v>
      </c>
      <c r="AR128" s="3">
        <v>3.7408986166822027</v>
      </c>
      <c r="AT128" s="3">
        <v>4.1343112038677798</v>
      </c>
    </row>
    <row r="129" spans="1:46" x14ac:dyDescent="0.2">
      <c r="A129" s="15" t="s">
        <v>113</v>
      </c>
      <c r="B129" s="3">
        <v>8.1527390769162782</v>
      </c>
      <c r="C129" s="3">
        <v>6.8197355788951786</v>
      </c>
      <c r="D129" s="3">
        <v>5.2314226237715431</v>
      </c>
      <c r="E129" s="3">
        <v>8.0013952409565174</v>
      </c>
      <c r="F129" s="3">
        <v>5.2754287721419084</v>
      </c>
      <c r="G129" s="3">
        <v>5.1379860213964825</v>
      </c>
      <c r="H129" s="3">
        <v>4.6582176260011101</v>
      </c>
      <c r="I129" s="3">
        <v>5.4508625620125217</v>
      </c>
      <c r="J129" s="3">
        <v>8.0595946575012078</v>
      </c>
      <c r="K129" s="3">
        <v>5.2270035362243368</v>
      </c>
      <c r="L129" s="3">
        <v>4.4050678916989048</v>
      </c>
      <c r="M129" s="3">
        <v>5.0833648690081814</v>
      </c>
      <c r="N129" s="3">
        <v>3.6264574021207436</v>
      </c>
      <c r="O129" s="3">
        <v>6.7587720452403364</v>
      </c>
      <c r="P129" s="3">
        <v>6.1834000638747924</v>
      </c>
      <c r="Q129" s="3">
        <v>4.9921761470699639</v>
      </c>
      <c r="R129" s="3">
        <v>4.7746408270402769</v>
      </c>
      <c r="S129" s="3">
        <v>5.9888876576493129</v>
      </c>
      <c r="T129" s="3">
        <v>3.0063962325467761</v>
      </c>
      <c r="U129" s="3">
        <v>6.7832990552102013</v>
      </c>
      <c r="V129" s="3">
        <v>6.5270130548206842</v>
      </c>
      <c r="W129" s="3">
        <v>8.0334244912629025</v>
      </c>
      <c r="X129" s="3">
        <v>4.0599723100201404</v>
      </c>
      <c r="Y129" s="3">
        <v>5.4582882420038583</v>
      </c>
      <c r="Z129" s="3">
        <v>6.7768544166180149</v>
      </c>
      <c r="AA129" s="3">
        <v>3.8500979117200758</v>
      </c>
      <c r="AB129" s="3">
        <v>4.6074290930398263</v>
      </c>
      <c r="AC129" s="3">
        <v>4.0781058498634959</v>
      </c>
      <c r="AD129" s="3">
        <v>6.4435437285609511</v>
      </c>
      <c r="AE129" s="3">
        <v>4.5846498220980969</v>
      </c>
      <c r="AF129" s="3">
        <v>6.9366617007938567</v>
      </c>
      <c r="AG129" s="3">
        <v>4.1915338333010084</v>
      </c>
      <c r="AH129" s="3">
        <v>5.4539134060362624</v>
      </c>
      <c r="AI129" s="3">
        <v>3.6962272715040605</v>
      </c>
      <c r="AJ129" s="3">
        <v>5.7563871517509497</v>
      </c>
      <c r="AK129" s="3">
        <v>3.2844232275211671</v>
      </c>
      <c r="AL129" s="3">
        <v>3.7140105387352045</v>
      </c>
      <c r="AM129" s="3">
        <v>5.1800202221364691</v>
      </c>
      <c r="AN129" s="3">
        <v>2.8914489939784094</v>
      </c>
      <c r="AO129" s="3">
        <v>5.1142675808940199</v>
      </c>
      <c r="AP129" s="3">
        <v>4.9014206177307846</v>
      </c>
      <c r="AQ129" s="3">
        <v>4.7374003692334217</v>
      </c>
      <c r="AR129" s="3">
        <v>4.5858284965306275</v>
      </c>
      <c r="AT129" s="3">
        <v>2.7368003415125415</v>
      </c>
    </row>
    <row r="130" spans="1:46" x14ac:dyDescent="0.2">
      <c r="A130" s="15" t="s">
        <v>114</v>
      </c>
      <c r="B130" s="3">
        <v>2.4598001134750351</v>
      </c>
      <c r="C130" s="3">
        <v>2.1439372973519975</v>
      </c>
      <c r="D130" s="3">
        <v>1.8898160193646116</v>
      </c>
      <c r="E130" s="3">
        <v>3.751045036775281</v>
      </c>
      <c r="F130" s="3">
        <v>1.9707618670692484</v>
      </c>
      <c r="G130" s="3">
        <v>2.2297337587807795</v>
      </c>
      <c r="H130" s="3">
        <v>1.7556962687279523</v>
      </c>
      <c r="I130" s="3">
        <v>3.3907405877215262</v>
      </c>
      <c r="J130" s="3">
        <v>3.4999762204390104</v>
      </c>
      <c r="K130" s="3">
        <v>2.8189311756313304</v>
      </c>
      <c r="L130" s="3">
        <v>1.7885203234268781</v>
      </c>
      <c r="M130" s="3">
        <v>2.0343985839419374</v>
      </c>
      <c r="N130" s="3">
        <v>1.8040053242317846</v>
      </c>
      <c r="O130" s="3">
        <v>4.6345788702990207</v>
      </c>
      <c r="P130" s="3">
        <v>2.8157693021110584</v>
      </c>
      <c r="Q130" s="3">
        <v>1.8382174650933938</v>
      </c>
      <c r="R130" s="3">
        <v>2.4388888979853278</v>
      </c>
      <c r="S130" s="3">
        <v>2.2331760477407054</v>
      </c>
      <c r="T130" s="3">
        <v>1.467457187678868</v>
      </c>
      <c r="U130" s="3">
        <v>2.9901875886648925</v>
      </c>
      <c r="V130" s="3">
        <v>3.0414027573238704</v>
      </c>
      <c r="W130" s="3">
        <v>3.1246800830475379</v>
      </c>
      <c r="X130" s="3">
        <v>2.2295680844796659</v>
      </c>
      <c r="Y130" s="3">
        <v>2.3970536717812574</v>
      </c>
      <c r="Z130" s="3">
        <v>2.2601898165927539</v>
      </c>
      <c r="AA130" s="3">
        <v>1.6727033750401321</v>
      </c>
      <c r="AB130" s="3">
        <v>1.9128931588883478</v>
      </c>
      <c r="AC130" s="3">
        <v>2.1459468864715547</v>
      </c>
      <c r="AD130" s="3">
        <v>3.8764222564642998</v>
      </c>
      <c r="AE130" s="3">
        <v>3.335103317469414</v>
      </c>
      <c r="AF130" s="3">
        <v>3.8720853470937553</v>
      </c>
      <c r="AG130" s="3">
        <v>1.5725659114274595</v>
      </c>
      <c r="AH130" s="3">
        <v>3.0741308711025908</v>
      </c>
      <c r="AI130" s="3">
        <v>2.0352555133736416</v>
      </c>
      <c r="AJ130" s="3">
        <v>2.5581608540573471</v>
      </c>
      <c r="AK130" s="3">
        <v>1.9559429077337473</v>
      </c>
      <c r="AL130" s="3">
        <v>2.3634582030680478</v>
      </c>
      <c r="AM130" s="3">
        <v>2.7153261549579017</v>
      </c>
      <c r="AN130" s="3">
        <v>1.7704851573675799</v>
      </c>
      <c r="AO130" s="3">
        <v>2.6819394841908721</v>
      </c>
      <c r="AP130" s="3">
        <v>2.7525274281842127</v>
      </c>
      <c r="AQ130" s="3">
        <v>2.0935699620823986</v>
      </c>
      <c r="AR130" s="3">
        <v>2.6538588567922301</v>
      </c>
      <c r="AT130" s="3">
        <v>1.2130814087771844</v>
      </c>
    </row>
    <row r="131" spans="1:46" x14ac:dyDescent="0.2">
      <c r="A131" s="15" t="s">
        <v>115</v>
      </c>
      <c r="B131" s="3">
        <v>0.49987871351405322</v>
      </c>
      <c r="C131" s="3">
        <v>0.52347249065623003</v>
      </c>
      <c r="D131" s="3">
        <v>0.52582553564692847</v>
      </c>
      <c r="E131" s="3">
        <v>0.75356230794782697</v>
      </c>
      <c r="F131" s="3">
        <v>0.48874194530876264</v>
      </c>
      <c r="G131" s="3">
        <v>0.31858191806241892</v>
      </c>
      <c r="H131" s="3">
        <v>0.50462419361270838</v>
      </c>
      <c r="I131" s="3">
        <v>0.40749683334276537</v>
      </c>
      <c r="J131" s="3">
        <v>0.33354783539015476</v>
      </c>
      <c r="K131" s="3">
        <v>0.45699950654354182</v>
      </c>
      <c r="L131" s="3">
        <v>0.58473802812277409</v>
      </c>
      <c r="M131" s="3">
        <v>0.2614880138507405</v>
      </c>
      <c r="N131" s="3">
        <v>0.35793855938659014</v>
      </c>
      <c r="O131" s="3">
        <v>0.15063550054838731</v>
      </c>
      <c r="P131" s="3">
        <v>0.47833523488670476</v>
      </c>
      <c r="Q131" s="3">
        <v>0.5065108693011946</v>
      </c>
      <c r="R131" s="3">
        <v>0.30842660553247159</v>
      </c>
      <c r="S131" s="3">
        <v>0.35916689389064166</v>
      </c>
      <c r="T131" s="3">
        <v>0.35919402930550848</v>
      </c>
      <c r="U131" s="3">
        <v>0.48274116234466274</v>
      </c>
      <c r="V131" s="3">
        <v>0.47844736519256986</v>
      </c>
      <c r="W131" s="3">
        <v>0.5848896588151532</v>
      </c>
      <c r="X131" s="3">
        <v>0.29842647824451485</v>
      </c>
      <c r="Y131" s="3">
        <v>0.52103115548522905</v>
      </c>
      <c r="Z131" s="3">
        <v>0.50344174290703458</v>
      </c>
      <c r="AA131" s="3">
        <v>0.35361758124550852</v>
      </c>
      <c r="AB131" s="3">
        <v>0.33358728284910183</v>
      </c>
      <c r="AC131" s="3">
        <v>0.3091895863299669</v>
      </c>
      <c r="AD131" s="3">
        <v>0.34470065510406495</v>
      </c>
      <c r="AE131" s="3">
        <v>0.28794907022277971</v>
      </c>
      <c r="AF131" s="3">
        <v>0.33653455487122919</v>
      </c>
      <c r="AG131" s="3">
        <v>0.32239282331083136</v>
      </c>
      <c r="AH131" s="3">
        <v>0.47284485261097087</v>
      </c>
      <c r="AI131" s="3">
        <v>0.1853213507986107</v>
      </c>
      <c r="AJ131" s="3">
        <v>0.28093118038643566</v>
      </c>
      <c r="AK131" s="3">
        <v>0.26252414146137276</v>
      </c>
      <c r="AL131" s="3">
        <v>0.38463818799254379</v>
      </c>
      <c r="AM131" s="3">
        <v>0.28898893273155213</v>
      </c>
      <c r="AN131" s="3">
        <v>0.22668392253700051</v>
      </c>
      <c r="AO131" s="3">
        <v>0.23430165800200217</v>
      </c>
      <c r="AP131" s="3">
        <v>0.55922015392143598</v>
      </c>
      <c r="AQ131" s="3">
        <v>0.35667908588885006</v>
      </c>
      <c r="AR131" s="3">
        <v>0.28284055793504614</v>
      </c>
      <c r="AT131" s="3">
        <v>0.27631935891596271</v>
      </c>
    </row>
    <row r="132" spans="1:46" x14ac:dyDescent="0.2">
      <c r="A132" s="15" t="s">
        <v>116</v>
      </c>
      <c r="B132" s="3">
        <v>3.9787903736759769</v>
      </c>
      <c r="C132" s="3">
        <v>4.8561778861075604</v>
      </c>
      <c r="D132" s="3">
        <v>3.5425519323727865</v>
      </c>
      <c r="E132" s="3">
        <v>6.5411167571420252</v>
      </c>
      <c r="F132" s="3">
        <v>2.5497770976823202</v>
      </c>
      <c r="G132" s="3">
        <v>2.1001810101676126</v>
      </c>
      <c r="H132" s="3">
        <v>11.451568125457111</v>
      </c>
      <c r="I132" s="3">
        <v>2.6124603427874509</v>
      </c>
      <c r="J132" s="3">
        <v>1.9476534689766671</v>
      </c>
      <c r="K132" s="3">
        <v>4.5541111304741104</v>
      </c>
      <c r="L132" s="3">
        <v>3.9465056875591857</v>
      </c>
      <c r="M132" s="3">
        <v>3.1384653373032032</v>
      </c>
      <c r="N132" s="3">
        <v>2.7523181471703779</v>
      </c>
      <c r="O132" s="3">
        <v>1.576397773983804</v>
      </c>
      <c r="P132" s="3">
        <v>3.9574310830992738</v>
      </c>
      <c r="Q132" s="3">
        <v>3.3700080833595494</v>
      </c>
      <c r="R132" s="3">
        <v>2.272238508572654</v>
      </c>
      <c r="S132" s="3">
        <v>3.0720512762790846</v>
      </c>
      <c r="T132" s="3">
        <v>3.453937527985103</v>
      </c>
      <c r="U132" s="3">
        <v>3.906624680709553</v>
      </c>
      <c r="V132" s="3">
        <v>4.6262947654866222</v>
      </c>
      <c r="W132" s="3">
        <v>5.0904194339588047</v>
      </c>
      <c r="X132" s="3">
        <v>2.9279965862226573</v>
      </c>
      <c r="Y132" s="3">
        <v>5.5958524161213141</v>
      </c>
      <c r="Z132" s="3">
        <v>3.5559728490700588</v>
      </c>
      <c r="AA132" s="3">
        <v>2.8875309165471217</v>
      </c>
      <c r="AB132" s="3">
        <v>2.9341867975878841</v>
      </c>
      <c r="AC132" s="3">
        <v>3.0154433654842236</v>
      </c>
      <c r="AD132" s="3">
        <v>2.8979120557037414</v>
      </c>
      <c r="AE132" s="3">
        <v>3.575472585278046</v>
      </c>
      <c r="AF132" s="3">
        <v>2.8618511850008854</v>
      </c>
      <c r="AG132" s="3">
        <v>2.3026274318510214</v>
      </c>
      <c r="AH132" s="3">
        <v>3.2960505134040736</v>
      </c>
      <c r="AI132" s="3">
        <v>2.8255272176902433</v>
      </c>
      <c r="AJ132" s="3">
        <v>2.6238126876754153</v>
      </c>
      <c r="AK132" s="3">
        <v>2.7484453338530748</v>
      </c>
      <c r="AL132" s="3">
        <v>3.4350195905061502</v>
      </c>
      <c r="AM132" s="3">
        <v>2.165226743117183</v>
      </c>
      <c r="AN132" s="3">
        <v>2.4284837658387142</v>
      </c>
      <c r="AO132" s="3">
        <v>2.6173769650442709</v>
      </c>
      <c r="AP132" s="3">
        <v>3.3920390694652975</v>
      </c>
      <c r="AQ132" s="3">
        <v>3.4981099245984413</v>
      </c>
      <c r="AR132" s="3">
        <v>3.4647111502409178</v>
      </c>
      <c r="AT132" s="3">
        <v>2.1497949669145462</v>
      </c>
    </row>
    <row r="133" spans="1:46" x14ac:dyDescent="0.2">
      <c r="A133" s="15" t="s">
        <v>117</v>
      </c>
      <c r="B133" s="3">
        <v>20.402846372134881</v>
      </c>
      <c r="C133" s="3">
        <v>26.115827386461625</v>
      </c>
      <c r="D133" s="3">
        <v>13.742421595937287</v>
      </c>
      <c r="E133" s="3">
        <v>37.141336753587495</v>
      </c>
      <c r="F133" s="3">
        <v>15.093538857214421</v>
      </c>
      <c r="G133" s="3">
        <v>11.196934719974024</v>
      </c>
      <c r="H133" s="3">
        <v>28.572471050846733</v>
      </c>
      <c r="I133" s="3">
        <v>16.304539153205514</v>
      </c>
      <c r="J133" s="3">
        <v>19.972826719523923</v>
      </c>
      <c r="K133" s="3">
        <v>28.611500218823593</v>
      </c>
      <c r="L133" s="3">
        <v>22.010898572631735</v>
      </c>
      <c r="M133" s="3">
        <v>16.087396257973364</v>
      </c>
      <c r="N133" s="3">
        <v>14.677260576542722</v>
      </c>
      <c r="O133" s="3">
        <v>10.000270373083783</v>
      </c>
      <c r="P133" s="3">
        <v>21.418470393162146</v>
      </c>
      <c r="Q133" s="3">
        <v>22.502372472663026</v>
      </c>
      <c r="R133" s="3">
        <v>15.659279300512226</v>
      </c>
      <c r="S133" s="3">
        <v>16.699276119819515</v>
      </c>
      <c r="T133" s="3">
        <v>18.996677676180955</v>
      </c>
      <c r="U133" s="3">
        <v>25.037089780446095</v>
      </c>
      <c r="V133" s="3">
        <v>24.56389309417456</v>
      </c>
      <c r="W133" s="3">
        <v>28.583056374205004</v>
      </c>
      <c r="X133" s="3">
        <v>16.038951965371588</v>
      </c>
      <c r="Y133" s="3">
        <v>28.01626335261512</v>
      </c>
      <c r="Z133" s="3">
        <v>20.705357546991479</v>
      </c>
      <c r="AA133" s="3">
        <v>15.321389052281768</v>
      </c>
      <c r="AB133" s="3">
        <v>15.393877504344269</v>
      </c>
      <c r="AC133" s="3">
        <v>15.764991207392743</v>
      </c>
      <c r="AD133" s="3">
        <v>16.333494246196544</v>
      </c>
      <c r="AE133" s="3">
        <v>24.221717068031051</v>
      </c>
      <c r="AF133" s="3">
        <v>15.60982302054061</v>
      </c>
      <c r="AG133" s="3">
        <v>12.241872803643219</v>
      </c>
      <c r="AH133" s="3">
        <v>18.159868572148767</v>
      </c>
      <c r="AI133" s="3">
        <v>13.29508692429955</v>
      </c>
      <c r="AJ133" s="3">
        <v>15.099532798242073</v>
      </c>
      <c r="AK133" s="3">
        <v>14.787414985731296</v>
      </c>
      <c r="AL133" s="3">
        <v>19.400752301288389</v>
      </c>
      <c r="AM133" s="3">
        <v>12.058416033222102</v>
      </c>
      <c r="AN133" s="3">
        <v>12.297896772315774</v>
      </c>
      <c r="AO133" s="3">
        <v>14.522558453006987</v>
      </c>
      <c r="AP133" s="3">
        <v>17.434922006975722</v>
      </c>
      <c r="AQ133" s="3">
        <v>18.266879557642593</v>
      </c>
      <c r="AR133" s="3">
        <v>16.243871868577614</v>
      </c>
      <c r="AT133" s="3">
        <v>12.406199652996817</v>
      </c>
    </row>
    <row r="134" spans="1:46" x14ac:dyDescent="0.2">
      <c r="A134" s="15" t="s">
        <v>118</v>
      </c>
      <c r="B134" s="3">
        <v>38.377071862724719</v>
      </c>
      <c r="C134" s="3">
        <v>37.88483737103838</v>
      </c>
      <c r="D134" s="3">
        <v>20.454027365634396</v>
      </c>
      <c r="E134" s="3">
        <v>48.033307658278815</v>
      </c>
      <c r="F134" s="3">
        <v>24.340125797296519</v>
      </c>
      <c r="G134" s="3">
        <v>22.721787144951421</v>
      </c>
      <c r="H134" s="3">
        <v>34.102362294809424</v>
      </c>
      <c r="I134" s="3">
        <v>43.62791110014436</v>
      </c>
      <c r="J134" s="3">
        <v>43.474785790133602</v>
      </c>
      <c r="K134" s="3">
        <v>36.284700977983661</v>
      </c>
      <c r="L134" s="3">
        <v>30.712584711479309</v>
      </c>
      <c r="M134" s="3">
        <v>24.125242116194016</v>
      </c>
      <c r="N134" s="3">
        <v>24.26834929170872</v>
      </c>
      <c r="O134" s="3">
        <v>30.670472480408606</v>
      </c>
      <c r="P134" s="3">
        <v>34.197605936468015</v>
      </c>
      <c r="Q134" s="3">
        <v>28.721200580109009</v>
      </c>
      <c r="R134" s="3">
        <v>40.749267083792269</v>
      </c>
      <c r="S134" s="3">
        <v>29.20169861686777</v>
      </c>
      <c r="T134" s="3">
        <v>25.815672492748295</v>
      </c>
      <c r="U134" s="3">
        <v>42.602326247975874</v>
      </c>
      <c r="V134" s="3">
        <v>29.408475057054964</v>
      </c>
      <c r="W134" s="3">
        <v>39.007686629042112</v>
      </c>
      <c r="X134" s="3">
        <v>23.505398562361737</v>
      </c>
      <c r="Y134" s="3">
        <v>43.896721907740698</v>
      </c>
      <c r="Z134" s="3">
        <v>40.841489996843151</v>
      </c>
      <c r="AA134" s="3">
        <v>29.681187584172488</v>
      </c>
      <c r="AB134" s="3">
        <v>28.798136849105422</v>
      </c>
      <c r="AC134" s="3">
        <v>23.240763790940768</v>
      </c>
      <c r="AD134" s="3">
        <v>24.765154576381555</v>
      </c>
      <c r="AE134" s="3">
        <v>33.958095898713914</v>
      </c>
      <c r="AF134" s="3">
        <v>31.726108463090956</v>
      </c>
      <c r="AG134" s="3">
        <v>25.311174969590123</v>
      </c>
      <c r="AH134" s="3">
        <v>29.669054903804735</v>
      </c>
      <c r="AI134" s="3">
        <v>27.590255458466277</v>
      </c>
      <c r="AJ134" s="3">
        <v>32.013425737767101</v>
      </c>
      <c r="AK134" s="3">
        <v>26.33495738032649</v>
      </c>
      <c r="AL134" s="3">
        <v>29.385025191339814</v>
      </c>
      <c r="AM134" s="3">
        <v>29.669554422984906</v>
      </c>
      <c r="AN134" s="3">
        <v>24.244184564477148</v>
      </c>
      <c r="AO134" s="3">
        <v>31.659712354431804</v>
      </c>
      <c r="AP134" s="3">
        <v>26.67189108648753</v>
      </c>
      <c r="AQ134" s="3">
        <v>35.022849747633288</v>
      </c>
      <c r="AR134" s="3">
        <v>24.316111176134381</v>
      </c>
      <c r="AT134" s="3">
        <v>26.738062163147266</v>
      </c>
    </row>
    <row r="135" spans="1:46" x14ac:dyDescent="0.2">
      <c r="A135" s="15" t="s">
        <v>119</v>
      </c>
      <c r="B135" s="3">
        <v>38.21878901531278</v>
      </c>
      <c r="C135" s="3">
        <v>24.482543206843594</v>
      </c>
      <c r="D135" s="3">
        <v>23.481618549861238</v>
      </c>
      <c r="E135" s="3">
        <v>37.00889798496496</v>
      </c>
      <c r="F135" s="3">
        <v>20.795845791694042</v>
      </c>
      <c r="G135" s="3">
        <v>26.522350449202275</v>
      </c>
      <c r="H135" s="3">
        <v>25.99468052956248</v>
      </c>
      <c r="I135" s="3">
        <v>26.351483413949687</v>
      </c>
      <c r="J135" s="3">
        <v>45.61142920675541</v>
      </c>
      <c r="K135" s="3">
        <v>31.481767772018092</v>
      </c>
      <c r="L135" s="3">
        <v>24.131386057993318</v>
      </c>
      <c r="M135" s="3">
        <v>21.956493665916209</v>
      </c>
      <c r="N135" s="3">
        <v>21.810001605074731</v>
      </c>
      <c r="O135" s="3">
        <v>35.352245159675938</v>
      </c>
      <c r="P135" s="3">
        <v>34.39107281830232</v>
      </c>
      <c r="Q135" s="3">
        <v>19.200694930518772</v>
      </c>
      <c r="R135" s="3">
        <v>26.019487498685386</v>
      </c>
      <c r="S135" s="3">
        <v>25.734255072376065</v>
      </c>
      <c r="T135" s="3">
        <v>18.95192496990931</v>
      </c>
      <c r="U135" s="3">
        <v>35.09142049181753</v>
      </c>
      <c r="V135" s="3">
        <v>25.970766686178369</v>
      </c>
      <c r="W135" s="3">
        <v>38.045183261453872</v>
      </c>
      <c r="X135" s="3">
        <v>23.947930313648904</v>
      </c>
      <c r="Y135" s="3">
        <v>28.467651173967379</v>
      </c>
      <c r="Z135" s="3">
        <v>29.091923971783473</v>
      </c>
      <c r="AA135" s="3">
        <v>22.098360379499457</v>
      </c>
      <c r="AB135" s="3">
        <v>28.229179708002263</v>
      </c>
      <c r="AC135" s="3">
        <v>25.565062496891489</v>
      </c>
      <c r="AD135" s="3">
        <v>22.390672849960211</v>
      </c>
      <c r="AE135" s="3">
        <v>23.958096123603372</v>
      </c>
      <c r="AF135" s="3">
        <v>28.124468868956669</v>
      </c>
      <c r="AG135" s="3">
        <v>21.439797113635123</v>
      </c>
      <c r="AH135" s="3">
        <v>27.521702027007798</v>
      </c>
      <c r="AI135" s="3">
        <v>20.649391897459331</v>
      </c>
      <c r="AJ135" s="3">
        <v>28.129716061742577</v>
      </c>
      <c r="AK135" s="3">
        <v>14.455147004036245</v>
      </c>
      <c r="AL135" s="3">
        <v>20.499175264087505</v>
      </c>
      <c r="AM135" s="3">
        <v>23.839449068280029</v>
      </c>
      <c r="AN135" s="3">
        <v>21.401685973054878</v>
      </c>
      <c r="AO135" s="3">
        <v>32.976776959853254</v>
      </c>
      <c r="AP135" s="3">
        <v>23.029973081244879</v>
      </c>
      <c r="AQ135" s="3">
        <v>27.891400370939216</v>
      </c>
      <c r="AR135" s="3">
        <v>24.764829791858961</v>
      </c>
      <c r="AT135" s="3">
        <v>15.096298779337634</v>
      </c>
    </row>
    <row r="136" spans="1:46" x14ac:dyDescent="0.2">
      <c r="A136" s="15" t="s">
        <v>120</v>
      </c>
      <c r="B136" s="3">
        <v>9.4388486344061171</v>
      </c>
      <c r="C136" s="3">
        <v>9.0569655163149516</v>
      </c>
      <c r="D136" s="3">
        <v>7.9093638869629936</v>
      </c>
      <c r="E136" s="3">
        <v>14.927659913770871</v>
      </c>
      <c r="F136" s="3">
        <v>6.8666887446210101</v>
      </c>
      <c r="G136" s="3">
        <v>8.2609572620725835</v>
      </c>
      <c r="H136" s="3">
        <v>9.540216565348608</v>
      </c>
      <c r="I136" s="3">
        <v>14.788376467204523</v>
      </c>
      <c r="J136" s="3">
        <v>15.333722652096114</v>
      </c>
      <c r="K136" s="3">
        <v>13.58694510455471</v>
      </c>
      <c r="L136" s="3">
        <v>8.9510304121544522</v>
      </c>
      <c r="M136" s="3">
        <v>8.7545577855028203</v>
      </c>
      <c r="N136" s="3">
        <v>7.882526081028054</v>
      </c>
      <c r="O136" s="3">
        <v>16.298069993506942</v>
      </c>
      <c r="P136" s="3">
        <v>12.054893418449739</v>
      </c>
      <c r="Q136" s="3">
        <v>6.9554287571401083</v>
      </c>
      <c r="R136" s="3">
        <v>12.063032447428977</v>
      </c>
      <c r="S136" s="3">
        <v>10.375104199525737</v>
      </c>
      <c r="T136" s="3">
        <v>6.4006021952735415</v>
      </c>
      <c r="U136" s="3">
        <v>12.0094496238647</v>
      </c>
      <c r="V136" s="3">
        <v>11.860119288563466</v>
      </c>
      <c r="W136" s="3">
        <v>13.377540641959152</v>
      </c>
      <c r="X136" s="3">
        <v>9.8168433866210769</v>
      </c>
      <c r="Y136" s="3">
        <v>10.934836248639044</v>
      </c>
      <c r="Z136" s="3">
        <v>9.2437911711207779</v>
      </c>
      <c r="AA136" s="3">
        <v>9.483217728487384</v>
      </c>
      <c r="AB136" s="3">
        <v>8.816841547283067</v>
      </c>
      <c r="AC136" s="3">
        <v>10.155929379711198</v>
      </c>
      <c r="AD136" s="3">
        <v>13.487297079313992</v>
      </c>
      <c r="AE136" s="3">
        <v>12.927687998751729</v>
      </c>
      <c r="AF136" s="3">
        <v>12.474317122797931</v>
      </c>
      <c r="AG136" s="3">
        <v>7.6501601722905246</v>
      </c>
      <c r="AH136" s="3">
        <v>12.800782804215602</v>
      </c>
      <c r="AI136" s="3">
        <v>7.406945659674534</v>
      </c>
      <c r="AJ136" s="3">
        <v>9.7086305081486355</v>
      </c>
      <c r="AK136" s="3">
        <v>7.3434460964640351</v>
      </c>
      <c r="AL136" s="3">
        <v>10.888019185793564</v>
      </c>
      <c r="AM136" s="3">
        <v>10.788042378574806</v>
      </c>
      <c r="AN136" s="3">
        <v>7.8221168250755317</v>
      </c>
      <c r="AO136" s="3">
        <v>12.124179943062686</v>
      </c>
      <c r="AP136" s="3">
        <v>10.497761840267991</v>
      </c>
      <c r="AQ136" s="3">
        <v>10.070073783670779</v>
      </c>
      <c r="AR136" s="3">
        <v>10.353529490556745</v>
      </c>
      <c r="AT136" s="3">
        <v>5.251764950589064</v>
      </c>
    </row>
    <row r="137" spans="1:46" x14ac:dyDescent="0.2">
      <c r="A137" s="15" t="s">
        <v>121</v>
      </c>
      <c r="B137" s="3">
        <v>2.4976037909815134</v>
      </c>
      <c r="C137" s="3">
        <v>2.4895637289433963</v>
      </c>
      <c r="D137" s="3">
        <v>3.2615001440762912</v>
      </c>
      <c r="E137" s="3">
        <v>4.518298173977235</v>
      </c>
      <c r="F137" s="3">
        <v>3.3994366344881275</v>
      </c>
      <c r="G137" s="3">
        <v>2.0641099336167814</v>
      </c>
      <c r="H137" s="3">
        <v>2.0684405951932145</v>
      </c>
      <c r="I137" s="3">
        <v>2.5404557979339071</v>
      </c>
      <c r="J137" s="3">
        <v>2.1619256293771745</v>
      </c>
      <c r="K137" s="3">
        <v>2.4555483307920003</v>
      </c>
      <c r="L137" s="3">
        <v>4.151746481269627</v>
      </c>
      <c r="M137" s="3">
        <v>1.1499753191113193</v>
      </c>
      <c r="N137" s="3">
        <v>2.0653789237390994</v>
      </c>
      <c r="O137" s="3">
        <v>0.63846315788501207</v>
      </c>
      <c r="P137" s="3">
        <v>3.4038231890094703</v>
      </c>
      <c r="Q137" s="3">
        <v>2.8961411543826197</v>
      </c>
      <c r="R137" s="3">
        <v>1.7760078535548796</v>
      </c>
      <c r="S137" s="3">
        <v>1.6705746948370874</v>
      </c>
      <c r="T137" s="3">
        <v>1.6571844016990478</v>
      </c>
      <c r="U137" s="3">
        <v>3.3581306395938588</v>
      </c>
      <c r="V137" s="3">
        <v>3.0469196736881714</v>
      </c>
      <c r="W137" s="3">
        <v>2.74687360319703</v>
      </c>
      <c r="X137" s="3">
        <v>1.2287008394997565</v>
      </c>
      <c r="Y137" s="3">
        <v>2.2857516484599887</v>
      </c>
      <c r="Z137" s="3">
        <v>3.1246201598706533</v>
      </c>
      <c r="AA137" s="3">
        <v>2.8100178221243048</v>
      </c>
      <c r="AB137" s="3">
        <v>3.0166360818658458</v>
      </c>
      <c r="AC137" s="3">
        <v>1.1854222352972454</v>
      </c>
      <c r="AD137" s="3">
        <v>1.6812503843868551</v>
      </c>
      <c r="AE137" s="3">
        <v>1.4811044216325309</v>
      </c>
      <c r="AF137" s="3">
        <v>1.2662686618872336</v>
      </c>
      <c r="AG137" s="3">
        <v>1.6374607215987602</v>
      </c>
      <c r="AH137" s="3">
        <v>2.3699298079246605</v>
      </c>
      <c r="AI137" s="3">
        <v>1.0193995333262744</v>
      </c>
      <c r="AJ137" s="3">
        <v>1.6074918664122111</v>
      </c>
      <c r="AK137" s="3">
        <v>1.4742046655526739</v>
      </c>
      <c r="AL137" s="3">
        <v>1.7595156792290634</v>
      </c>
      <c r="AM137" s="3">
        <v>1.1438847477927527</v>
      </c>
      <c r="AN137" s="3">
        <v>0.92044714964841956</v>
      </c>
      <c r="AO137" s="3">
        <v>1.1930715355586341</v>
      </c>
      <c r="AP137" s="3">
        <v>3.6721646522890303</v>
      </c>
      <c r="AQ137" s="3">
        <v>2.1885092379149125</v>
      </c>
      <c r="AR137" s="3">
        <v>0.9660342704508541</v>
      </c>
      <c r="AT137" s="3">
        <v>0.95424552847655364</v>
      </c>
    </row>
    <row r="138" spans="1:46" x14ac:dyDescent="0.2">
      <c r="A138" s="15" t="s">
        <v>122</v>
      </c>
      <c r="B138" s="3">
        <v>5.2499974206233366</v>
      </c>
      <c r="C138" s="3">
        <v>7.3925718750355029</v>
      </c>
      <c r="D138" s="3">
        <v>9.2847748571885855</v>
      </c>
      <c r="E138" s="3">
        <v>12.434056097104911</v>
      </c>
      <c r="F138" s="3">
        <v>8.3593263067666772</v>
      </c>
      <c r="G138" s="3">
        <v>5.5569392291711148</v>
      </c>
      <c r="H138" s="3">
        <v>8.2055068460914153</v>
      </c>
      <c r="I138" s="3">
        <v>7.5044054575979207</v>
      </c>
      <c r="J138" s="3">
        <v>5.3879741311353655</v>
      </c>
      <c r="K138" s="3">
        <v>8.5389139264432181</v>
      </c>
      <c r="L138" s="3">
        <v>11.520010917232234</v>
      </c>
      <c r="M138" s="3">
        <v>6.1192105535215369</v>
      </c>
      <c r="N138" s="3">
        <v>6.0067520524270188</v>
      </c>
      <c r="O138" s="3">
        <v>4.1698612264800303</v>
      </c>
      <c r="P138" s="3">
        <v>10.309854880933306</v>
      </c>
      <c r="Q138" s="3">
        <v>6.7418095364915525</v>
      </c>
      <c r="R138" s="3">
        <v>5.2882606576471964</v>
      </c>
      <c r="S138" s="3">
        <v>6.8612719122667185</v>
      </c>
      <c r="T138" s="3">
        <v>5.2468081810242442</v>
      </c>
      <c r="U138" s="3">
        <v>7.1183062470863305</v>
      </c>
      <c r="V138" s="3">
        <v>12.784301438382059</v>
      </c>
      <c r="W138" s="3">
        <v>7.7878032699708983</v>
      </c>
      <c r="X138" s="3">
        <v>5.2951810550594871</v>
      </c>
      <c r="Y138" s="3">
        <v>8.505348438712474</v>
      </c>
      <c r="Z138" s="3">
        <v>7.003999850612546</v>
      </c>
      <c r="AA138" s="3">
        <v>7.1480282864738562</v>
      </c>
      <c r="AB138" s="3">
        <v>5.2496574813112789</v>
      </c>
      <c r="AC138" s="3">
        <v>4.8753455818343463</v>
      </c>
      <c r="AD138" s="3">
        <v>7.0148893583346164</v>
      </c>
      <c r="AE138" s="3">
        <v>8.3149904372374301</v>
      </c>
      <c r="AF138" s="3">
        <v>6.2679917919530119</v>
      </c>
      <c r="AG138" s="3">
        <v>3.3570033167835032</v>
      </c>
      <c r="AH138" s="3">
        <v>8.5431314727500478</v>
      </c>
      <c r="AI138" s="3">
        <v>5.1137674491738547</v>
      </c>
      <c r="AJ138" s="3">
        <v>6.1211457660615407</v>
      </c>
      <c r="AK138" s="3">
        <v>10.144135450946461</v>
      </c>
      <c r="AL138" s="3">
        <v>6.2866452835928994</v>
      </c>
      <c r="AM138" s="3">
        <v>3.9947200757666934</v>
      </c>
      <c r="AN138" s="3">
        <v>4.5302768132382605</v>
      </c>
      <c r="AO138" s="3">
        <v>4.9151557510000474</v>
      </c>
      <c r="AP138" s="3">
        <v>9.9283942838702615</v>
      </c>
      <c r="AQ138" s="3">
        <v>6.5040260209258545</v>
      </c>
      <c r="AR138" s="3">
        <v>5.9040796783951688</v>
      </c>
      <c r="AT138" s="3">
        <v>4.495987041189295</v>
      </c>
    </row>
    <row r="139" spans="1:46" x14ac:dyDescent="0.2">
      <c r="A139" s="15" t="s">
        <v>123</v>
      </c>
      <c r="B139" s="3">
        <v>10.81215565326359</v>
      </c>
      <c r="C139" s="3">
        <v>10.74797019151449</v>
      </c>
      <c r="D139" s="3">
        <v>12.890175867774261</v>
      </c>
      <c r="E139" s="3">
        <v>18.154649705951357</v>
      </c>
      <c r="F139" s="3">
        <v>12.46217435884545</v>
      </c>
      <c r="G139" s="3">
        <v>11.295144248288032</v>
      </c>
      <c r="H139" s="3">
        <v>10.887863726268643</v>
      </c>
      <c r="I139" s="3">
        <v>19.237936315667731</v>
      </c>
      <c r="J139" s="3">
        <v>10.748643692314175</v>
      </c>
      <c r="K139" s="3">
        <v>11.546323278843509</v>
      </c>
      <c r="L139" s="3">
        <v>19.118173953677889</v>
      </c>
      <c r="M139" s="3">
        <v>8.6615110150712393</v>
      </c>
      <c r="N139" s="3">
        <v>8.8051969136606694</v>
      </c>
      <c r="O139" s="3">
        <v>12.126686122197908</v>
      </c>
      <c r="P139" s="3">
        <v>14.094940717040524</v>
      </c>
      <c r="Q139" s="3">
        <v>9.3909559402968448</v>
      </c>
      <c r="R139" s="3">
        <v>11.160955231363882</v>
      </c>
      <c r="S139" s="3">
        <v>13.3731921866473</v>
      </c>
      <c r="T139" s="3">
        <v>6.860775171583545</v>
      </c>
      <c r="U139" s="3">
        <v>13.400476377874137</v>
      </c>
      <c r="V139" s="3">
        <v>15.055149170182236</v>
      </c>
      <c r="W139" s="3">
        <v>12.966511680843128</v>
      </c>
      <c r="X139" s="3">
        <v>7.7582522701868646</v>
      </c>
      <c r="Y139" s="3">
        <v>14.196812131226981</v>
      </c>
      <c r="Z139" s="3">
        <v>15.838527353159689</v>
      </c>
      <c r="AA139" s="3">
        <v>13.975183342055828</v>
      </c>
      <c r="AB139" s="3">
        <v>10.342381148299284</v>
      </c>
      <c r="AC139" s="3">
        <v>6.6987026121664091</v>
      </c>
      <c r="AD139" s="3">
        <v>10.523030519873631</v>
      </c>
      <c r="AE139" s="3">
        <v>11.790433085283565</v>
      </c>
      <c r="AF139" s="3">
        <v>11.900268662194565</v>
      </c>
      <c r="AG139" s="3">
        <v>6.9278682279996033</v>
      </c>
      <c r="AH139" s="3">
        <v>13.942652854366843</v>
      </c>
      <c r="AI139" s="3">
        <v>8.964296576588799</v>
      </c>
      <c r="AJ139" s="3">
        <v>11.010647545435013</v>
      </c>
      <c r="AK139" s="3">
        <v>16.084865152242696</v>
      </c>
      <c r="AL139" s="3">
        <v>10.121591490479345</v>
      </c>
      <c r="AM139" s="3">
        <v>10.004487622077614</v>
      </c>
      <c r="AN139" s="3">
        <v>8.205929838883165</v>
      </c>
      <c r="AO139" s="3">
        <v>9.8408514801493432</v>
      </c>
      <c r="AP139" s="3">
        <v>11.836228877075406</v>
      </c>
      <c r="AQ139" s="3">
        <v>10.948993176947198</v>
      </c>
      <c r="AR139" s="3">
        <v>8.1783695120273716</v>
      </c>
      <c r="AT139" s="3">
        <v>8.2245937773973008</v>
      </c>
    </row>
    <row r="140" spans="1:46" x14ac:dyDescent="0.2">
      <c r="A140" s="15" t="s">
        <v>124</v>
      </c>
      <c r="B140" s="3">
        <v>17.363410967926356</v>
      </c>
      <c r="C140" s="3">
        <v>13.503926935140099</v>
      </c>
      <c r="D140" s="3">
        <v>20.557947464125505</v>
      </c>
      <c r="E140" s="3">
        <v>25.030348084411884</v>
      </c>
      <c r="F140" s="3">
        <v>14.181224988219613</v>
      </c>
      <c r="G140" s="3">
        <v>17.249647602692757</v>
      </c>
      <c r="H140" s="3">
        <v>14.025555912412019</v>
      </c>
      <c r="I140" s="3">
        <v>14.571441860322274</v>
      </c>
      <c r="J140" s="3">
        <v>20.932796394931557</v>
      </c>
      <c r="K140" s="3">
        <v>16.792371784766811</v>
      </c>
      <c r="L140" s="3">
        <v>23.756337458720751</v>
      </c>
      <c r="M140" s="3">
        <v>11.309172216809184</v>
      </c>
      <c r="N140" s="3">
        <v>11.723848608754288</v>
      </c>
      <c r="O140" s="3">
        <v>20.170151549520188</v>
      </c>
      <c r="P140" s="3">
        <v>22.126415767860056</v>
      </c>
      <c r="Q140" s="3">
        <v>14.061040333537564</v>
      </c>
      <c r="R140" s="3">
        <v>13.644349496888056</v>
      </c>
      <c r="S140" s="3">
        <v>20.341300740085547</v>
      </c>
      <c r="T140" s="3">
        <v>10.401845248826003</v>
      </c>
      <c r="U140" s="3">
        <v>18.707260451966238</v>
      </c>
      <c r="V140" s="3">
        <v>17.786088991066478</v>
      </c>
      <c r="W140" s="3">
        <v>19.174959367541646</v>
      </c>
      <c r="X140" s="3">
        <v>11.853788281520542</v>
      </c>
      <c r="Y140" s="3">
        <v>16.860196928430483</v>
      </c>
      <c r="Z140" s="3">
        <v>19.280080671332911</v>
      </c>
      <c r="AA140" s="3">
        <v>17.674398041690964</v>
      </c>
      <c r="AB140" s="3">
        <v>16.919545876652869</v>
      </c>
      <c r="AC140" s="3">
        <v>12.223925958609271</v>
      </c>
      <c r="AD140" s="3">
        <v>12.718059020874939</v>
      </c>
      <c r="AE140" s="3">
        <v>13.113315358733033</v>
      </c>
      <c r="AF140" s="3">
        <v>15.156651437458494</v>
      </c>
      <c r="AG140" s="3">
        <v>11.348675674974016</v>
      </c>
      <c r="AH140" s="3">
        <v>18.437129350549288</v>
      </c>
      <c r="AI140" s="3">
        <v>9.8106127328907871</v>
      </c>
      <c r="AJ140" s="3">
        <v>12.962968279065526</v>
      </c>
      <c r="AK140" s="3">
        <v>12.615646298978415</v>
      </c>
      <c r="AL140" s="3">
        <v>13.073154817458999</v>
      </c>
      <c r="AM140" s="3">
        <v>12.868306675589112</v>
      </c>
      <c r="AN140" s="3">
        <v>11.676572748446725</v>
      </c>
      <c r="AO140" s="3">
        <v>16.212944592656914</v>
      </c>
      <c r="AP140" s="3">
        <v>13.028751566803944</v>
      </c>
      <c r="AQ140" s="3">
        <v>15.784508085576091</v>
      </c>
      <c r="AR140" s="3">
        <v>12.928518836431881</v>
      </c>
      <c r="AT140" s="3">
        <v>8.658997468844964</v>
      </c>
    </row>
    <row r="141" spans="1:46" x14ac:dyDescent="0.2">
      <c r="A141" s="15" t="s">
        <v>125</v>
      </c>
      <c r="B141" s="3">
        <v>9.2307272690966062</v>
      </c>
      <c r="C141" s="3">
        <v>10.29693687526408</v>
      </c>
      <c r="D141" s="3">
        <v>7.6274528207702712</v>
      </c>
      <c r="E141" s="3">
        <v>15.08329735365578</v>
      </c>
      <c r="F141" s="3">
        <v>4.7435113400607332</v>
      </c>
      <c r="G141" s="3">
        <v>7.1611074163750006</v>
      </c>
      <c r="H141" s="3">
        <v>9.1312778184832961</v>
      </c>
      <c r="I141" s="3">
        <v>5.6911509338062647</v>
      </c>
      <c r="J141" s="3">
        <v>13.093298465764112</v>
      </c>
      <c r="K141" s="3">
        <v>9.6297209315189622</v>
      </c>
      <c r="L141" s="3">
        <v>11.296342787008442</v>
      </c>
      <c r="M141" s="3">
        <v>4.987436662989472</v>
      </c>
      <c r="N141" s="3">
        <v>4.8671362033374699</v>
      </c>
      <c r="O141" s="3">
        <v>4.1893482408689069</v>
      </c>
      <c r="P141" s="3">
        <v>8.9314795129919009</v>
      </c>
      <c r="Q141" s="3">
        <v>7.216828587746865</v>
      </c>
      <c r="R141" s="3">
        <v>7.4099878892528448</v>
      </c>
      <c r="S141" s="3">
        <v>13.732374960509921</v>
      </c>
      <c r="T141" s="3">
        <v>4.4914714970139356</v>
      </c>
      <c r="U141" s="3">
        <v>11.252873756059717</v>
      </c>
      <c r="V141" s="3">
        <v>11.215134450047453</v>
      </c>
      <c r="W141" s="3">
        <v>12.16844010063369</v>
      </c>
      <c r="X141" s="3">
        <v>6.1903076868661682</v>
      </c>
      <c r="Y141" s="3">
        <v>9.6113475887235698</v>
      </c>
      <c r="Z141" s="3">
        <v>10.609109291047176</v>
      </c>
      <c r="AA141" s="3">
        <v>9.4077300955784455</v>
      </c>
      <c r="AB141" s="3">
        <v>8.3184956351004882</v>
      </c>
      <c r="AC141" s="3">
        <v>6.5623421216888751</v>
      </c>
      <c r="AD141" s="3">
        <v>5.1704650580131917</v>
      </c>
      <c r="AE141" s="3">
        <v>5.8081411406008465</v>
      </c>
      <c r="AF141" s="3">
        <v>6.7505108604953428</v>
      </c>
      <c r="AG141" s="3">
        <v>5.927546989773143</v>
      </c>
      <c r="AH141" s="3">
        <v>5.7929316427160975</v>
      </c>
      <c r="AI141" s="3">
        <v>3.6857935998263462</v>
      </c>
      <c r="AJ141" s="3">
        <v>5.3534776146617258</v>
      </c>
      <c r="AK141" s="3">
        <v>4.051851202795814</v>
      </c>
      <c r="AL141" s="3">
        <v>8.0940805898526484</v>
      </c>
      <c r="AM141" s="3">
        <v>7.3362304435885752</v>
      </c>
      <c r="AN141" s="3">
        <v>3.7156087284152086</v>
      </c>
      <c r="AO141" s="3">
        <v>6.3856906172122425</v>
      </c>
      <c r="AP141" s="3">
        <v>4.7818882118099362</v>
      </c>
      <c r="AQ141" s="3">
        <v>9.4259097407562891</v>
      </c>
      <c r="AR141" s="3">
        <v>5.5951856649149656</v>
      </c>
      <c r="AT141" s="3">
        <v>4.7047887383716871</v>
      </c>
    </row>
    <row r="142" spans="1:46" x14ac:dyDescent="0.2">
      <c r="A142" s="15" t="s">
        <v>126</v>
      </c>
      <c r="B142" s="3">
        <v>3.3159769337808651</v>
      </c>
      <c r="C142" s="3">
        <v>3.2538305828174532</v>
      </c>
      <c r="D142" s="3">
        <v>2.167781215531797</v>
      </c>
      <c r="E142" s="3">
        <v>6.0795008090194802</v>
      </c>
      <c r="F142" s="3">
        <v>1.5398431684683409</v>
      </c>
      <c r="G142" s="3">
        <v>2.7195985383336603</v>
      </c>
      <c r="H142" s="3">
        <v>3.3342692989090503</v>
      </c>
      <c r="I142" s="3">
        <v>2.7308435551846792</v>
      </c>
      <c r="J142" s="3">
        <v>4.7042685808636246</v>
      </c>
      <c r="K142" s="3">
        <v>3.5722058700730273</v>
      </c>
      <c r="L142" s="3">
        <v>3.7565108471440585</v>
      </c>
      <c r="M142" s="3">
        <v>2.1880663495927286</v>
      </c>
      <c r="N142" s="3">
        <v>1.9166283861943989</v>
      </c>
      <c r="O142" s="3">
        <v>4.3324046786268742</v>
      </c>
      <c r="P142" s="3">
        <v>4.4415330873676018</v>
      </c>
      <c r="Q142" s="3">
        <v>3.0411673604238105</v>
      </c>
      <c r="R142" s="3">
        <v>2.3385887388810942</v>
      </c>
      <c r="S142" s="3">
        <v>3.4418038580662014</v>
      </c>
      <c r="T142" s="3">
        <v>1.9243798260962763</v>
      </c>
      <c r="U142" s="3">
        <v>5.4871994109238855</v>
      </c>
      <c r="V142" s="3">
        <v>4.1713913246951133</v>
      </c>
      <c r="W142" s="3">
        <v>4.8115387594519907</v>
      </c>
      <c r="X142" s="3">
        <v>2.1800592852181486</v>
      </c>
      <c r="Y142" s="3">
        <v>4.167781606638659</v>
      </c>
      <c r="Z142" s="3">
        <v>3.4163172915647135</v>
      </c>
      <c r="AA142" s="3">
        <v>3.103616198051665</v>
      </c>
      <c r="AB142" s="3">
        <v>3.3962335104179417</v>
      </c>
      <c r="AC142" s="3">
        <v>2.4425811168224545</v>
      </c>
      <c r="AD142" s="3">
        <v>1.8098514773021195</v>
      </c>
      <c r="AE142" s="3">
        <v>3.3539961303568622</v>
      </c>
      <c r="AF142" s="3">
        <v>2.5845262932132429</v>
      </c>
      <c r="AG142" s="3">
        <v>2.5013920225926105</v>
      </c>
      <c r="AH142" s="3">
        <v>2.4712919977174415</v>
      </c>
      <c r="AI142" s="3">
        <v>2.3782697251868736</v>
      </c>
      <c r="AJ142" s="3">
        <v>1.6117643270066064</v>
      </c>
      <c r="AK142" s="3">
        <v>1.3496591905692314</v>
      </c>
      <c r="AL142" s="3">
        <v>3.3715409204496418</v>
      </c>
      <c r="AM142" s="3">
        <v>1.6616002466548254</v>
      </c>
      <c r="AN142" s="3">
        <v>1.73721257836367</v>
      </c>
      <c r="AO142" s="3">
        <v>2.2403820941121824</v>
      </c>
      <c r="AP142" s="3">
        <v>2.4530350152264284</v>
      </c>
      <c r="AQ142" s="3">
        <v>3.1530966014511357</v>
      </c>
      <c r="AR142" s="3">
        <v>2.0939365886622041</v>
      </c>
      <c r="AT142" s="3">
        <v>2.0457875628901014</v>
      </c>
    </row>
    <row r="143" spans="1:46" x14ac:dyDescent="0.2">
      <c r="A143" s="15" t="s">
        <v>127</v>
      </c>
      <c r="B143" s="3">
        <v>0.11077054316680585</v>
      </c>
      <c r="C143" s="3">
        <v>0.10479364908999612</v>
      </c>
      <c r="D143" s="3">
        <v>0.20833335805847958</v>
      </c>
      <c r="E143" s="3">
        <v>0.3113991876515993</v>
      </c>
      <c r="F143" s="3">
        <v>8.7924898800096699E-2</v>
      </c>
      <c r="G143" s="3">
        <v>8.0811254027228441E-2</v>
      </c>
      <c r="H143" s="3">
        <v>0.10897114729877583</v>
      </c>
      <c r="I143" s="3">
        <v>5.2028995604068082E-2</v>
      </c>
      <c r="J143" s="3">
        <v>0.11390117886921</v>
      </c>
      <c r="K143" s="3">
        <v>0.10532335948651947</v>
      </c>
      <c r="L143" s="3">
        <v>0.19715915177548923</v>
      </c>
      <c r="M143" s="3">
        <v>6.729936221969901E-2</v>
      </c>
      <c r="N143" s="3">
        <v>7.5078761344674033E-2</v>
      </c>
      <c r="O143" s="3">
        <v>2.0923913166686844E-2</v>
      </c>
      <c r="P143" s="3">
        <v>0.18692849999849145</v>
      </c>
      <c r="Q143" s="3">
        <v>0.13410665709722699</v>
      </c>
      <c r="R143" s="3">
        <v>0.10102808304758744</v>
      </c>
      <c r="S143" s="3">
        <v>0.20901924855355056</v>
      </c>
      <c r="T143" s="3">
        <v>9.434088220757654E-2</v>
      </c>
      <c r="U143" s="3">
        <v>7.8293531627756138E-2</v>
      </c>
      <c r="V143" s="3">
        <v>0.15231630552679523</v>
      </c>
      <c r="W143" s="3">
        <v>0.23088691692537072</v>
      </c>
      <c r="X143" s="3">
        <v>6.3904280908760311E-2</v>
      </c>
      <c r="Y143" s="3">
        <v>0.11134078237336061</v>
      </c>
      <c r="Z143" s="3">
        <v>0.21458565189313211</v>
      </c>
      <c r="AA143" s="3">
        <v>9.1815506949484677E-2</v>
      </c>
      <c r="AB143" s="3">
        <v>9.7118165219977334E-2</v>
      </c>
      <c r="AC143" s="3">
        <v>3.5556612577810315E-2</v>
      </c>
      <c r="AD143" s="3">
        <v>5.6948981184958516E-2</v>
      </c>
      <c r="AE143" s="3">
        <v>4.1541213381988205E-2</v>
      </c>
      <c r="AF143" s="3">
        <v>3.1171880835811627E-2</v>
      </c>
      <c r="AG143" s="3">
        <v>6.8742655163777963E-2</v>
      </c>
      <c r="AH143" s="3">
        <v>5.2984255399025432E-2</v>
      </c>
      <c r="AI143" s="3">
        <v>6.0009138202467234E-2</v>
      </c>
      <c r="AJ143" s="3">
        <v>7.8215558463547413E-2</v>
      </c>
      <c r="AK143" s="3">
        <v>8.7240562973550068E-2</v>
      </c>
      <c r="AL143" s="3">
        <v>8.8857179573126971E-2</v>
      </c>
      <c r="AM143" s="3">
        <v>3.1711004139422481E-2</v>
      </c>
      <c r="AN143" s="3">
        <v>5.518982991709756E-2</v>
      </c>
      <c r="AO143" s="3">
        <v>3.0354175901975051E-2</v>
      </c>
      <c r="AP143" s="3">
        <v>0.10782841853411909</v>
      </c>
      <c r="AQ143" s="3">
        <v>9.3317299305167689E-2</v>
      </c>
      <c r="AR143" s="3">
        <v>4.1751037543114544E-2</v>
      </c>
      <c r="AT143" s="3">
        <v>6.9474482871015736E-2</v>
      </c>
    </row>
    <row r="144" spans="1:46" x14ac:dyDescent="0.2">
      <c r="A144" s="15" t="s">
        <v>128</v>
      </c>
      <c r="B144" s="3">
        <v>0.77516353651053782</v>
      </c>
      <c r="C144" s="3">
        <v>0.64290063425588972</v>
      </c>
      <c r="D144" s="3">
        <v>1.13497791746229</v>
      </c>
      <c r="E144" s="3">
        <v>1.509184647953403</v>
      </c>
      <c r="F144" s="3">
        <v>0.67187234062681467</v>
      </c>
      <c r="G144" s="3">
        <v>0.52124462105922587</v>
      </c>
      <c r="H144" s="3">
        <v>0.64197452557637846</v>
      </c>
      <c r="I144" s="3">
        <v>0.58300013627920244</v>
      </c>
      <c r="J144" s="3">
        <v>0.59095422170164746</v>
      </c>
      <c r="K144" s="3">
        <v>0.75117114564503495</v>
      </c>
      <c r="L144" s="3">
        <v>1.3671878116148803</v>
      </c>
      <c r="M144" s="3">
        <v>0.30855169016800199</v>
      </c>
      <c r="N144" s="3">
        <v>0.4891443618844864</v>
      </c>
      <c r="O144" s="3">
        <v>0.35407160725724096</v>
      </c>
      <c r="P144" s="3">
        <v>0.91645781286316219</v>
      </c>
      <c r="Q144" s="3">
        <v>0.87854168801917976</v>
      </c>
      <c r="R144" s="3">
        <v>0.44646304574735773</v>
      </c>
      <c r="S144" s="3">
        <v>0.64547388442045772</v>
      </c>
      <c r="T144" s="3">
        <v>0.42142319652404703</v>
      </c>
      <c r="U144" s="3">
        <v>0.77183765713093899</v>
      </c>
      <c r="V144" s="3">
        <v>0.79575664477322305</v>
      </c>
      <c r="W144" s="3">
        <v>0.88016468222586375</v>
      </c>
      <c r="X144" s="3">
        <v>0.34810200439044592</v>
      </c>
      <c r="Y144" s="3">
        <v>0.67902077092183655</v>
      </c>
      <c r="Z144" s="3">
        <v>0.82622214658266968</v>
      </c>
      <c r="AA144" s="3">
        <v>0.56694752941647719</v>
      </c>
      <c r="AB144" s="3">
        <v>0.68585864627651327</v>
      </c>
      <c r="AC144" s="3">
        <v>0.34091173948308018</v>
      </c>
      <c r="AD144" s="3">
        <v>0.39519554240561655</v>
      </c>
      <c r="AE144" s="3">
        <v>0.44975189900256007</v>
      </c>
      <c r="AF144" s="3">
        <v>0.35377931365017473</v>
      </c>
      <c r="AG144" s="3">
        <v>0.47358829528972396</v>
      </c>
      <c r="AH144" s="3">
        <v>0.51029410314724377</v>
      </c>
      <c r="AI144" s="3">
        <v>0.32124244495855964</v>
      </c>
      <c r="AJ144" s="3">
        <v>0.42096091042353845</v>
      </c>
      <c r="AK144" s="3">
        <v>0.43719288550013846</v>
      </c>
      <c r="AL144" s="3">
        <v>0.58475599460893801</v>
      </c>
      <c r="AM144" s="3">
        <v>0.29854437544180579</v>
      </c>
      <c r="AN144" s="3">
        <v>0.26813764688035846</v>
      </c>
      <c r="AO144" s="3">
        <v>0.32746940795507362</v>
      </c>
      <c r="AP144" s="3">
        <v>0.84683246263266487</v>
      </c>
      <c r="AQ144" s="3">
        <v>0.60788357898877998</v>
      </c>
      <c r="AR144" s="3">
        <v>0.30189192668731668</v>
      </c>
      <c r="AT144" s="3">
        <v>0.35875478109950093</v>
      </c>
    </row>
    <row r="145" spans="1:46" x14ac:dyDescent="0.2">
      <c r="A145" s="15" t="s">
        <v>129</v>
      </c>
      <c r="B145" s="3">
        <v>1.3123636209426834</v>
      </c>
      <c r="C145" s="3">
        <v>1.1236431851654536</v>
      </c>
      <c r="D145" s="3">
        <v>1.6232633334774655</v>
      </c>
      <c r="E145" s="3">
        <v>2.5811730018770542</v>
      </c>
      <c r="F145" s="3">
        <v>0.87528490277769722</v>
      </c>
      <c r="G145" s="3">
        <v>0.94131541111350603</v>
      </c>
      <c r="H145" s="3">
        <v>1.5320116682125013</v>
      </c>
      <c r="I145" s="3">
        <v>0.98896354646978324</v>
      </c>
      <c r="J145" s="3">
        <v>0.81654495939684502</v>
      </c>
      <c r="K145" s="3">
        <v>1.3904916919679684</v>
      </c>
      <c r="L145" s="3">
        <v>2.0813522917065317</v>
      </c>
      <c r="M145" s="3">
        <v>0.77142194401502995</v>
      </c>
      <c r="N145" s="3">
        <v>0.80480182131556999</v>
      </c>
      <c r="O145" s="3">
        <v>0.80532909262444119</v>
      </c>
      <c r="P145" s="3">
        <v>1.3903430064651257</v>
      </c>
      <c r="Q145" s="3">
        <v>1.4748025686690243</v>
      </c>
      <c r="R145" s="3">
        <v>0.83401014712133903</v>
      </c>
      <c r="S145" s="3">
        <v>1.5125261066877409</v>
      </c>
      <c r="T145" s="3">
        <v>0.84481261747631731</v>
      </c>
      <c r="U145" s="3">
        <v>1.6223048194209873</v>
      </c>
      <c r="V145" s="3">
        <v>1.5456230936701059</v>
      </c>
      <c r="W145" s="3">
        <v>1.5730946441303333</v>
      </c>
      <c r="X145" s="3">
        <v>0.81931072724395071</v>
      </c>
      <c r="Y145" s="3">
        <v>1.6118697311738397</v>
      </c>
      <c r="Z145" s="3">
        <v>1.4218431331697459</v>
      </c>
      <c r="AA145" s="3">
        <v>1.3696325367148787</v>
      </c>
      <c r="AB145" s="3">
        <v>1.1367396398121308</v>
      </c>
      <c r="AC145" s="3">
        <v>0.78036205797333169</v>
      </c>
      <c r="AD145" s="3">
        <v>0.77001050066671473</v>
      </c>
      <c r="AE145" s="3">
        <v>1.0624423662304485</v>
      </c>
      <c r="AF145" s="3">
        <v>0.75325231947143001</v>
      </c>
      <c r="AG145" s="3">
        <v>0.77898110107342455</v>
      </c>
      <c r="AH145" s="3">
        <v>1.1114256393162236</v>
      </c>
      <c r="AI145" s="3">
        <v>0.69020837816108482</v>
      </c>
      <c r="AJ145" s="3">
        <v>0.83147190901061307</v>
      </c>
      <c r="AK145" s="3">
        <v>1.083790450387909</v>
      </c>
      <c r="AL145" s="3">
        <v>1.2060054227260515</v>
      </c>
      <c r="AM145" s="3">
        <v>0.63087512134771295</v>
      </c>
      <c r="AN145" s="3">
        <v>0.7192924073334459</v>
      </c>
      <c r="AO145" s="3">
        <v>0.6787455659389815</v>
      </c>
      <c r="AP145" s="3">
        <v>1.1157182985366629</v>
      </c>
      <c r="AQ145" s="3">
        <v>1.1216680943628987</v>
      </c>
      <c r="AR145" s="3">
        <v>0.85421395647779796</v>
      </c>
      <c r="AT145" s="3">
        <v>0.85472206348905044</v>
      </c>
    </row>
    <row r="146" spans="1:46" x14ac:dyDescent="0.2">
      <c r="A146" s="15" t="s">
        <v>130</v>
      </c>
      <c r="B146" s="3">
        <v>3.9066564467457785</v>
      </c>
      <c r="C146" s="3">
        <v>2.7759800170321762</v>
      </c>
      <c r="D146" s="3">
        <v>3.225048214037614</v>
      </c>
      <c r="E146" s="3">
        <v>6.5991873569258992</v>
      </c>
      <c r="F146" s="3">
        <v>1.7131152368961804</v>
      </c>
      <c r="G146" s="3">
        <v>3.0707244549033605</v>
      </c>
      <c r="H146" s="3">
        <v>4.2771445602470664</v>
      </c>
      <c r="I146" s="3">
        <v>2.7759110180922208</v>
      </c>
      <c r="J146" s="3">
        <v>2.8505962508349425</v>
      </c>
      <c r="K146" s="3">
        <v>3.4118190100464907</v>
      </c>
      <c r="L146" s="3">
        <v>5.0214074165513125</v>
      </c>
      <c r="M146" s="3">
        <v>1.8151220576715643</v>
      </c>
      <c r="N146" s="3">
        <v>1.7572482851790212</v>
      </c>
      <c r="O146" s="3">
        <v>1.449161558048883</v>
      </c>
      <c r="P146" s="3">
        <v>3.727553970737258</v>
      </c>
      <c r="Q146" s="3">
        <v>4.1731769152892415</v>
      </c>
      <c r="R146" s="3">
        <v>2.6602145111116577</v>
      </c>
      <c r="S146" s="3">
        <v>4.3159048349014029</v>
      </c>
      <c r="T146" s="3">
        <v>2.3318687327824734</v>
      </c>
      <c r="U146" s="3">
        <v>4.9556545500458151</v>
      </c>
      <c r="V146" s="3">
        <v>2.9307371624182594</v>
      </c>
      <c r="W146" s="3">
        <v>5.5142287317780658</v>
      </c>
      <c r="X146" s="3">
        <v>2.0884056176717443</v>
      </c>
      <c r="Y146" s="3">
        <v>4.4079783555096599</v>
      </c>
      <c r="Z146" s="3">
        <v>4.1590181663491288</v>
      </c>
      <c r="AA146" s="3">
        <v>3.7472372113806687</v>
      </c>
      <c r="AB146" s="3">
        <v>3.3305597196116778</v>
      </c>
      <c r="AC146" s="3">
        <v>2.0407658932078703</v>
      </c>
      <c r="AD146" s="3">
        <v>1.8002394115752784</v>
      </c>
      <c r="AE146" s="3">
        <v>2.8356330582497642</v>
      </c>
      <c r="AF146" s="3">
        <v>1.7440030754662532</v>
      </c>
      <c r="AG146" s="3">
        <v>2.321717818540554</v>
      </c>
      <c r="AH146" s="3">
        <v>2.6872384202551398</v>
      </c>
      <c r="AI146" s="3">
        <v>1.6381843662656421</v>
      </c>
      <c r="AJ146" s="3">
        <v>1.9174595755536814</v>
      </c>
      <c r="AK146" s="3">
        <v>1.9765325215624281</v>
      </c>
      <c r="AL146" s="3">
        <v>3.3761878068193329</v>
      </c>
      <c r="AM146" s="3">
        <v>1.7964727782706535</v>
      </c>
      <c r="AN146" s="3">
        <v>1.9476010390771714</v>
      </c>
      <c r="AO146" s="3">
        <v>2.1556398814449635</v>
      </c>
      <c r="AP146" s="3">
        <v>2.0120458688563994</v>
      </c>
      <c r="AQ146" s="3">
        <v>3.2023304299720174</v>
      </c>
      <c r="AR146" s="3">
        <v>2.0292662252039984</v>
      </c>
      <c r="AT146" s="3">
        <v>1.8267468345372517</v>
      </c>
    </row>
    <row r="147" spans="1:46" x14ac:dyDescent="0.2">
      <c r="A147" s="15" t="s">
        <v>131</v>
      </c>
      <c r="B147" s="3">
        <v>8.0118774268327915</v>
      </c>
      <c r="C147" s="3">
        <v>5.8819456432000106</v>
      </c>
      <c r="D147" s="3">
        <v>8.6141906707082949</v>
      </c>
      <c r="E147" s="3">
        <v>14.153794255834127</v>
      </c>
      <c r="F147" s="3">
        <v>4.5208353448822196</v>
      </c>
      <c r="G147" s="3">
        <v>7.3723518853096515</v>
      </c>
      <c r="H147" s="3">
        <v>7.7468571673253823</v>
      </c>
      <c r="I147" s="3">
        <v>4.8493168381344827</v>
      </c>
      <c r="J147" s="3">
        <v>8.8930153232725857</v>
      </c>
      <c r="K147" s="3">
        <v>6.6607873371346731</v>
      </c>
      <c r="L147" s="3">
        <v>10.704285221219703</v>
      </c>
      <c r="M147" s="3">
        <v>4.509144327254198</v>
      </c>
      <c r="N147" s="3">
        <v>4.0992705677249219</v>
      </c>
      <c r="O147" s="3">
        <v>3.9949277292891154</v>
      </c>
      <c r="P147" s="3">
        <v>8.4723513837866626</v>
      </c>
      <c r="Q147" s="3">
        <v>8.9165015222392139</v>
      </c>
      <c r="R147" s="3">
        <v>6.1492611237950907</v>
      </c>
      <c r="S147" s="3">
        <v>10.821747301431634</v>
      </c>
      <c r="T147" s="3">
        <v>4.9351556642219556</v>
      </c>
      <c r="U147" s="3">
        <v>9.3333845281393248</v>
      </c>
      <c r="V147" s="3">
        <v>6.9866782049744183</v>
      </c>
      <c r="W147" s="3">
        <v>10.53658048900763</v>
      </c>
      <c r="X147" s="3">
        <v>4.7123971976542176</v>
      </c>
      <c r="Y147" s="3">
        <v>8.3720560689453922</v>
      </c>
      <c r="Z147" s="3">
        <v>9.8713131784156776</v>
      </c>
      <c r="AA147" s="3">
        <v>7.8247451570080298</v>
      </c>
      <c r="AB147" s="3">
        <v>8.6598206443721804</v>
      </c>
      <c r="AC147" s="3">
        <v>5.2780079910324877</v>
      </c>
      <c r="AD147" s="3">
        <v>3.8591001534114953</v>
      </c>
      <c r="AE147" s="3">
        <v>5.7681677379463761</v>
      </c>
      <c r="AF147" s="3">
        <v>4.1930779622022101</v>
      </c>
      <c r="AG147" s="3">
        <v>5.8143346702897434</v>
      </c>
      <c r="AH147" s="3">
        <v>5.6999768736571186</v>
      </c>
      <c r="AI147" s="3">
        <v>3.6608134133831642</v>
      </c>
      <c r="AJ147" s="3">
        <v>4.0772926258615776</v>
      </c>
      <c r="AK147" s="3">
        <v>3.7876845152797922</v>
      </c>
      <c r="AL147" s="3">
        <v>6.7067294081306024</v>
      </c>
      <c r="AM147" s="3">
        <v>4.3795439422760358</v>
      </c>
      <c r="AN147" s="3">
        <v>4.2819460551471469</v>
      </c>
      <c r="AO147" s="3">
        <v>5.3333872523608141</v>
      </c>
      <c r="AP147" s="3">
        <v>4.2505007990308608</v>
      </c>
      <c r="AQ147" s="3">
        <v>6.8391510867886032</v>
      </c>
      <c r="AR147" s="3">
        <v>4.9084803189338722</v>
      </c>
      <c r="AT147" s="3">
        <v>4.1316526534516758</v>
      </c>
    </row>
    <row r="148" spans="1:46" x14ac:dyDescent="0.2">
      <c r="A148" s="15" t="s">
        <v>132</v>
      </c>
      <c r="B148" s="3">
        <v>13.374774217610128</v>
      </c>
      <c r="C148" s="3">
        <v>9.488738382453267</v>
      </c>
      <c r="D148" s="3">
        <v>13.966346991364388</v>
      </c>
      <c r="E148" s="3">
        <v>19.694437874718819</v>
      </c>
      <c r="F148" s="3">
        <v>5.848354365321077</v>
      </c>
      <c r="G148" s="3">
        <v>12.493610085676865</v>
      </c>
      <c r="H148" s="3">
        <v>12.119932477054718</v>
      </c>
      <c r="I148" s="3">
        <v>8.2661881975643574</v>
      </c>
      <c r="J148" s="3">
        <v>15.865539154810458</v>
      </c>
      <c r="K148" s="3">
        <v>11.829602965390961</v>
      </c>
      <c r="L148" s="3">
        <v>18.209424775102494</v>
      </c>
      <c r="M148" s="3">
        <v>6.7182065047290651</v>
      </c>
      <c r="N148" s="3">
        <v>6.7417859525130321</v>
      </c>
      <c r="O148" s="3">
        <v>10.015679730953334</v>
      </c>
      <c r="P148" s="3">
        <v>13.869978291266754</v>
      </c>
      <c r="Q148" s="3">
        <v>10.008827761931713</v>
      </c>
      <c r="R148" s="3">
        <v>9.4140420087686039</v>
      </c>
      <c r="S148" s="3">
        <v>17.729934234611974</v>
      </c>
      <c r="T148" s="3">
        <v>6.6045419243011123</v>
      </c>
      <c r="U148" s="3">
        <v>15.462021976236452</v>
      </c>
      <c r="V148" s="3">
        <v>13.584768615942103</v>
      </c>
      <c r="W148" s="3">
        <v>17.207173897560562</v>
      </c>
      <c r="X148" s="3">
        <v>7.380131563387442</v>
      </c>
      <c r="Y148" s="3">
        <v>12.37802286472443</v>
      </c>
      <c r="Z148" s="3">
        <v>13.816322565588809</v>
      </c>
      <c r="AA148" s="3">
        <v>15.191024305471421</v>
      </c>
      <c r="AB148" s="3">
        <v>14.315102158598462</v>
      </c>
      <c r="AC148" s="3">
        <v>9.3943179373128611</v>
      </c>
      <c r="AD148" s="3">
        <v>6.2595893647583454</v>
      </c>
      <c r="AE148" s="3">
        <v>9.041965325249377</v>
      </c>
      <c r="AF148" s="3">
        <v>7.3045124850552661</v>
      </c>
      <c r="AG148" s="3">
        <v>8.743362369050276</v>
      </c>
      <c r="AH148" s="3">
        <v>9.7207875055465269</v>
      </c>
      <c r="AI148" s="3">
        <v>4.8647140430042866</v>
      </c>
      <c r="AJ148" s="3">
        <v>6.5328847994762897</v>
      </c>
      <c r="AK148" s="3">
        <v>5.9694479814552937</v>
      </c>
      <c r="AL148" s="3">
        <v>10.097810149211126</v>
      </c>
      <c r="AM148" s="3">
        <v>7.5558166397499376</v>
      </c>
      <c r="AN148" s="3">
        <v>6.1297069875142238</v>
      </c>
      <c r="AO148" s="3">
        <v>9.7470542723580404</v>
      </c>
      <c r="AP148" s="3">
        <v>5.9631053909816689</v>
      </c>
      <c r="AQ148" s="3">
        <v>12.124302335592025</v>
      </c>
      <c r="AR148" s="3">
        <v>7.6870625114867543</v>
      </c>
      <c r="AT148" s="3">
        <v>6.0166181455021368</v>
      </c>
    </row>
    <row r="149" spans="1:46" x14ac:dyDescent="0.2">
      <c r="A149" s="15" t="s">
        <v>133</v>
      </c>
      <c r="B149" s="3">
        <v>7.331611439139647</v>
      </c>
      <c r="C149" s="3">
        <v>6.6313476363731603</v>
      </c>
      <c r="D149" s="3">
        <v>8.4037461575448873</v>
      </c>
      <c r="E149" s="3">
        <v>11.275030872102741</v>
      </c>
      <c r="F149" s="3">
        <v>3.6193119402736413</v>
      </c>
      <c r="G149" s="3">
        <v>6.8881601704564446</v>
      </c>
      <c r="H149" s="3">
        <v>9.588504929282367</v>
      </c>
      <c r="I149" s="3">
        <v>7.7805138185675364</v>
      </c>
      <c r="J149" s="3">
        <v>10.996934605306729</v>
      </c>
      <c r="K149" s="3">
        <v>8.7462638249559976</v>
      </c>
      <c r="L149" s="3">
        <v>10.269496877716197</v>
      </c>
      <c r="M149" s="3">
        <v>4.6415898403260147</v>
      </c>
      <c r="N149" s="3">
        <v>5.3972021031692563</v>
      </c>
      <c r="O149" s="3">
        <v>10.160981030209788</v>
      </c>
      <c r="P149" s="3">
        <v>9.0109630846218067</v>
      </c>
      <c r="Q149" s="3">
        <v>6.2991754845837722</v>
      </c>
      <c r="R149" s="3">
        <v>7.0099465976084412</v>
      </c>
      <c r="S149" s="3">
        <v>9.0177031428781991</v>
      </c>
      <c r="T149" s="3">
        <v>4.0809068632943726</v>
      </c>
      <c r="U149" s="3">
        <v>9.4468266862613497</v>
      </c>
      <c r="V149" s="3">
        <v>5.7511176723951545</v>
      </c>
      <c r="W149" s="3">
        <v>12.81738158872038</v>
      </c>
      <c r="X149" s="3">
        <v>4.7711257831710796</v>
      </c>
      <c r="Y149" s="3">
        <v>8.8733137883416138</v>
      </c>
      <c r="Z149" s="3">
        <v>7.8075932965493564</v>
      </c>
      <c r="AA149" s="3">
        <v>10.935617486773697</v>
      </c>
      <c r="AB149" s="3">
        <v>7.8439361235998533</v>
      </c>
      <c r="AC149" s="3">
        <v>6.6055378076771776</v>
      </c>
      <c r="AD149" s="3">
        <v>4.4863574499257624</v>
      </c>
      <c r="AE149" s="3">
        <v>6.5966898299523766</v>
      </c>
      <c r="AF149" s="3">
        <v>3.8526740459013498</v>
      </c>
      <c r="AG149" s="3">
        <v>6.2257319006323257</v>
      </c>
      <c r="AH149" s="3">
        <v>6.4030159144353647</v>
      </c>
      <c r="AI149" s="3">
        <v>3.122876701386208</v>
      </c>
      <c r="AJ149" s="3">
        <v>3.2925798507993385</v>
      </c>
      <c r="AK149" s="3">
        <v>3.7132609166628856</v>
      </c>
      <c r="AL149" s="3">
        <v>8.7069986599033928</v>
      </c>
      <c r="AM149" s="3">
        <v>4.2724010410200357</v>
      </c>
      <c r="AN149" s="3">
        <v>4.2919846899605716</v>
      </c>
      <c r="AO149" s="3">
        <v>5.7095722687089294</v>
      </c>
      <c r="AP149" s="3">
        <v>3.9594807974788577</v>
      </c>
      <c r="AQ149" s="3">
        <v>7.6885918149682118</v>
      </c>
      <c r="AR149" s="3">
        <v>4.4935896096505079</v>
      </c>
      <c r="AT149" s="3">
        <v>4.2220304273066898</v>
      </c>
    </row>
    <row r="150" spans="1:46" x14ac:dyDescent="0.2">
      <c r="A150" s="15" t="s">
        <v>134</v>
      </c>
      <c r="B150" s="3">
        <v>7.7728188341639026E-2</v>
      </c>
      <c r="C150" s="3">
        <v>6.2823811964542647E-2</v>
      </c>
      <c r="D150" s="3">
        <v>0.12767959514858274</v>
      </c>
      <c r="E150" s="3">
        <v>0.17976614277673245</v>
      </c>
      <c r="F150" s="3">
        <v>5.4153705207890201E-2</v>
      </c>
      <c r="G150" s="3">
        <v>7.6768449301504713E-2</v>
      </c>
      <c r="H150" s="3">
        <v>7.0503451777100073E-2</v>
      </c>
      <c r="I150" s="3">
        <v>6.9615769634226859E-2</v>
      </c>
      <c r="J150" s="3">
        <v>8.1214008353977893E-2</v>
      </c>
      <c r="K150" s="3">
        <v>6.8041741962840782E-2</v>
      </c>
      <c r="L150" s="3">
        <v>0.15964233192248933</v>
      </c>
      <c r="M150" s="3">
        <v>3.777746965594693E-2</v>
      </c>
      <c r="N150" s="3">
        <v>2.9396087936661295E-2</v>
      </c>
      <c r="O150" s="3">
        <v>2.7911009568949357E-2</v>
      </c>
      <c r="P150" s="3">
        <v>6.423350529809492E-2</v>
      </c>
      <c r="Q150" s="3">
        <v>8.9714279210326875E-2</v>
      </c>
      <c r="R150" s="3">
        <v>3.435532484054258E-2</v>
      </c>
      <c r="S150" s="3">
        <v>5.201035918820017E-2</v>
      </c>
      <c r="T150" s="3">
        <v>5.1839966589225128E-2</v>
      </c>
      <c r="U150" s="3">
        <v>6.3304980774464809E-2</v>
      </c>
      <c r="V150" s="3">
        <v>4.4089356131854544E-2</v>
      </c>
      <c r="W150" s="3">
        <v>6.7219874751710998E-2</v>
      </c>
      <c r="X150" s="3">
        <v>3.5481070387480738E-2</v>
      </c>
      <c r="Y150" s="3">
        <v>7.0570962732082326E-2</v>
      </c>
      <c r="Z150" s="3">
        <v>0.1143377492837605</v>
      </c>
      <c r="AA150" s="3">
        <v>8.0049452127897297E-2</v>
      </c>
      <c r="AB150" s="3">
        <v>8.5656327444151109E-2</v>
      </c>
      <c r="AC150" s="3">
        <v>2.9043770972407786E-2</v>
      </c>
      <c r="AD150" s="3">
        <v>2.8657545703021866E-2</v>
      </c>
      <c r="AE150" s="3">
        <v>1.9027209620394867E-2</v>
      </c>
      <c r="AF150" s="3">
        <v>2.7714551840863442E-2</v>
      </c>
      <c r="AG150" s="3">
        <v>4.0294328637431313E-2</v>
      </c>
      <c r="AH150" s="3">
        <v>5.8119536751828633E-2</v>
      </c>
      <c r="AI150" s="3">
        <v>3.5361909392982574E-2</v>
      </c>
      <c r="AJ150" s="3">
        <v>4.4684823808445039E-2</v>
      </c>
      <c r="AK150" s="3">
        <v>3.4661377672599837E-2</v>
      </c>
      <c r="AL150" s="3">
        <v>5.0810884085048046E-2</v>
      </c>
      <c r="AM150" s="3">
        <v>2.1683573106174935E-2</v>
      </c>
      <c r="AN150" s="3">
        <v>3.2123051288265703E-2</v>
      </c>
      <c r="AO150" s="3">
        <v>2.2214876745084995E-2</v>
      </c>
      <c r="AP150" s="3">
        <v>4.8110824638104781E-2</v>
      </c>
      <c r="AQ150" s="3">
        <v>3.7560693172681826E-2</v>
      </c>
      <c r="AR150" s="3">
        <v>1.0652561903278866E-2</v>
      </c>
      <c r="AT150" s="3">
        <v>3.9176083671666175E-2</v>
      </c>
    </row>
    <row r="151" spans="1:46" x14ac:dyDescent="0.2">
      <c r="A151" s="15" t="s">
        <v>135</v>
      </c>
      <c r="B151" s="3">
        <v>0.24475658550459242</v>
      </c>
      <c r="C151" s="3">
        <v>0.19223502204545878</v>
      </c>
      <c r="D151" s="3">
        <v>0.29046653256913951</v>
      </c>
      <c r="E151" s="3">
        <v>0.37745846234783609</v>
      </c>
      <c r="F151" s="3">
        <v>7.1207805405784877E-2</v>
      </c>
      <c r="G151" s="3">
        <v>0.16366014487653191</v>
      </c>
      <c r="H151" s="3">
        <v>0.24200122406886174</v>
      </c>
      <c r="I151" s="3">
        <v>0.10012791539632913</v>
      </c>
      <c r="J151" s="3">
        <v>0.10701171005583227</v>
      </c>
      <c r="K151" s="3">
        <v>0.1927473080266304</v>
      </c>
      <c r="L151" s="3">
        <v>0.39968267052158607</v>
      </c>
      <c r="M151" s="3">
        <v>8.6831419902569068E-2</v>
      </c>
      <c r="N151" s="3">
        <v>8.7812611759465253E-2</v>
      </c>
      <c r="O151" s="3">
        <v>5.8587676126349381E-2</v>
      </c>
      <c r="P151" s="3">
        <v>0.22206886577010443</v>
      </c>
      <c r="Q151" s="3">
        <v>0.26986454063120624</v>
      </c>
      <c r="R151" s="3">
        <v>0.1028440312022418</v>
      </c>
      <c r="S151" s="3">
        <v>0.25259845313911161</v>
      </c>
      <c r="T151" s="3">
        <v>0.12742801124539013</v>
      </c>
      <c r="U151" s="3">
        <v>0.27123480118966975</v>
      </c>
      <c r="V151" s="3">
        <v>0.20077831236325611</v>
      </c>
      <c r="W151" s="3">
        <v>0.25511822569410653</v>
      </c>
      <c r="X151" s="3">
        <v>0.11364764978912605</v>
      </c>
      <c r="Y151" s="3">
        <v>0.25779218475938298</v>
      </c>
      <c r="Z151" s="3">
        <v>0.27176616945699594</v>
      </c>
      <c r="AA151" s="3">
        <v>0.28552281553862335</v>
      </c>
      <c r="AB151" s="3">
        <v>0.13079136645944717</v>
      </c>
      <c r="AC151" s="3">
        <v>0.11288650819944732</v>
      </c>
      <c r="AD151" s="3">
        <v>6.5217259801944441E-2</v>
      </c>
      <c r="AE151" s="3">
        <v>0.11893388490397525</v>
      </c>
      <c r="AF151" s="3">
        <v>5.8864383928546461E-2</v>
      </c>
      <c r="AG151" s="3">
        <v>0.10311750934175967</v>
      </c>
      <c r="AH151" s="3">
        <v>0.12343547593476316</v>
      </c>
      <c r="AI151" s="3">
        <v>9.5525638435259186E-2</v>
      </c>
      <c r="AJ151" s="3">
        <v>9.3628582223864235E-2</v>
      </c>
      <c r="AK151" s="3">
        <v>0.10631114465520132</v>
      </c>
      <c r="AL151" s="3">
        <v>0.18819373765947425</v>
      </c>
      <c r="AM151" s="3">
        <v>8.4154804569552835E-2</v>
      </c>
      <c r="AN151" s="3">
        <v>8.8317055344150006E-2</v>
      </c>
      <c r="AO151" s="3">
        <v>5.9742535282585482E-2</v>
      </c>
      <c r="AP151" s="3">
        <v>8.4148942243581673E-2</v>
      </c>
      <c r="AQ151" s="3">
        <v>0.16176524893788144</v>
      </c>
      <c r="AR151" s="3">
        <v>9.6572934776948033E-2</v>
      </c>
      <c r="AT151" s="3">
        <v>0.11279761416757662</v>
      </c>
    </row>
    <row r="152" spans="1:46" x14ac:dyDescent="0.2">
      <c r="A152" s="15" t="s">
        <v>136</v>
      </c>
      <c r="B152" s="3">
        <v>0.52507240819907752</v>
      </c>
      <c r="C152" s="3">
        <v>0.29037527782140254</v>
      </c>
      <c r="D152" s="3">
        <v>0.45893870642122397</v>
      </c>
      <c r="E152" s="3">
        <v>0.93797243859793111</v>
      </c>
      <c r="F152" s="3">
        <v>0.15955559011224732</v>
      </c>
      <c r="G152" s="3">
        <v>0.44084643517648869</v>
      </c>
      <c r="H152" s="3">
        <v>0.69423664481475722</v>
      </c>
      <c r="I152" s="3">
        <v>0.32196195255875748</v>
      </c>
      <c r="J152" s="3">
        <v>0.31179358106416771</v>
      </c>
      <c r="K152" s="3">
        <v>0.34667523808725048</v>
      </c>
      <c r="L152" s="3">
        <v>0.95367822147350745</v>
      </c>
      <c r="M152" s="3">
        <v>0.19025371418815501</v>
      </c>
      <c r="N152" s="3">
        <v>0.23247076034790659</v>
      </c>
      <c r="O152" s="3">
        <v>0.13490121982605965</v>
      </c>
      <c r="P152" s="3">
        <v>0.47481527800985573</v>
      </c>
      <c r="Q152" s="3">
        <v>0.62737511056936512</v>
      </c>
      <c r="R152" s="3">
        <v>0.26724684890866063</v>
      </c>
      <c r="S152" s="3">
        <v>0.67927113985536125</v>
      </c>
      <c r="T152" s="3">
        <v>0.25696578136003934</v>
      </c>
      <c r="U152" s="3">
        <v>0.72206597416053098</v>
      </c>
      <c r="V152" s="3">
        <v>0.52088291715788881</v>
      </c>
      <c r="W152" s="3">
        <v>0.83004053843108239</v>
      </c>
      <c r="X152" s="3">
        <v>0.28259074263283929</v>
      </c>
      <c r="Y152" s="3">
        <v>0.56170228427483093</v>
      </c>
      <c r="Z152" s="3">
        <v>0.59895796302689808</v>
      </c>
      <c r="AA152" s="3">
        <v>0.63785477654281675</v>
      </c>
      <c r="AB152" s="3">
        <v>0.43913186779363511</v>
      </c>
      <c r="AC152" s="3">
        <v>0.17402073376460322</v>
      </c>
      <c r="AD152" s="3">
        <v>0.170119260823898</v>
      </c>
      <c r="AE152" s="3">
        <v>0.36287311835869646</v>
      </c>
      <c r="AF152" s="3">
        <v>0.16697775259145034</v>
      </c>
      <c r="AG152" s="3">
        <v>0.28218843080594364</v>
      </c>
      <c r="AH152" s="3">
        <v>0.3502120102978678</v>
      </c>
      <c r="AI152" s="3">
        <v>0.18799550300283491</v>
      </c>
      <c r="AJ152" s="3">
        <v>0.17825381249974023</v>
      </c>
      <c r="AK152" s="3">
        <v>0.23931920060648063</v>
      </c>
      <c r="AL152" s="3">
        <v>0.48861139149067384</v>
      </c>
      <c r="AM152" s="3">
        <v>0.21674425042186846</v>
      </c>
      <c r="AN152" s="3">
        <v>0.24161864440290784</v>
      </c>
      <c r="AO152" s="3">
        <v>0.23378068993591838</v>
      </c>
      <c r="AP152" s="3">
        <v>0.21854199593953139</v>
      </c>
      <c r="AQ152" s="3">
        <v>0.40513645916398927</v>
      </c>
      <c r="AR152" s="3">
        <v>0.23951038905491201</v>
      </c>
      <c r="AT152" s="3">
        <v>0.21078472883839022</v>
      </c>
    </row>
    <row r="153" spans="1:46" x14ac:dyDescent="0.2">
      <c r="A153" s="15" t="s">
        <v>137</v>
      </c>
      <c r="B153" s="3">
        <v>1.3735524311933991</v>
      </c>
      <c r="C153" s="3">
        <v>0.8314870947117593</v>
      </c>
      <c r="D153" s="3">
        <v>2.249875164648317</v>
      </c>
      <c r="E153" s="3">
        <v>2.7192418522127717</v>
      </c>
      <c r="F153" s="3">
        <v>0.66825619482993026</v>
      </c>
      <c r="G153" s="3">
        <v>1.7271260912268824</v>
      </c>
      <c r="H153" s="3">
        <v>1.3365927993012179</v>
      </c>
      <c r="I153" s="3">
        <v>0.96246952592533219</v>
      </c>
      <c r="J153" s="3">
        <v>1.2732767546011636</v>
      </c>
      <c r="K153" s="3">
        <v>1.1547352788297929</v>
      </c>
      <c r="L153" s="3">
        <v>2.6667105402393481</v>
      </c>
      <c r="M153" s="3">
        <v>0.76541164766382963</v>
      </c>
      <c r="N153" s="3">
        <v>0.70488666963753133</v>
      </c>
      <c r="O153" s="3">
        <v>0.95116522476499532</v>
      </c>
      <c r="P153" s="3">
        <v>1.532735304800527</v>
      </c>
      <c r="Q153" s="3">
        <v>1.577572118290852</v>
      </c>
      <c r="R153" s="3">
        <v>1.0399270395286893</v>
      </c>
      <c r="S153" s="3">
        <v>2.1945549503675923</v>
      </c>
      <c r="T153" s="3">
        <v>0.73292558400691454</v>
      </c>
      <c r="U153" s="3">
        <v>1.6537773240734244</v>
      </c>
      <c r="V153" s="3">
        <v>1.5781898405106776</v>
      </c>
      <c r="W153" s="3">
        <v>1.8480257484625713</v>
      </c>
      <c r="X153" s="3">
        <v>0.8034286644816353</v>
      </c>
      <c r="Y153" s="3">
        <v>1.4123587153212769</v>
      </c>
      <c r="Z153" s="3">
        <v>1.7126386307802499</v>
      </c>
      <c r="AA153" s="3">
        <v>1.8597965900278197</v>
      </c>
      <c r="AB153" s="3">
        <v>1.5798411595591824</v>
      </c>
      <c r="AC153" s="3">
        <v>0.8315713591670747</v>
      </c>
      <c r="AD153" s="3">
        <v>0.54721915196791837</v>
      </c>
      <c r="AE153" s="3">
        <v>1.0088114223853277</v>
      </c>
      <c r="AF153" s="3">
        <v>0.62505545886862701</v>
      </c>
      <c r="AG153" s="3">
        <v>0.89532130698702561</v>
      </c>
      <c r="AH153" s="3">
        <v>1.2061425747657939</v>
      </c>
      <c r="AI153" s="3">
        <v>0.55286118711939747</v>
      </c>
      <c r="AJ153" s="3">
        <v>0.61799853224143386</v>
      </c>
      <c r="AK153" s="3">
        <v>0.90922361301986043</v>
      </c>
      <c r="AL153" s="3">
        <v>1.2237535654409963</v>
      </c>
      <c r="AM153" s="3">
        <v>0.75473932523447029</v>
      </c>
      <c r="AN153" s="3">
        <v>0.74378527619175405</v>
      </c>
      <c r="AO153" s="3">
        <v>0.83208940460196756</v>
      </c>
      <c r="AP153" s="3">
        <v>0.68535561393286326</v>
      </c>
      <c r="AQ153" s="3">
        <v>1.3427796574965414</v>
      </c>
      <c r="AR153" s="3">
        <v>0.70448751083705619</v>
      </c>
      <c r="AT153" s="3">
        <v>0.79803430389842944</v>
      </c>
    </row>
    <row r="154" spans="1:46" x14ac:dyDescent="0.2">
      <c r="A154" s="15" t="s">
        <v>138</v>
      </c>
      <c r="B154" s="3">
        <v>2.2333258429056797</v>
      </c>
      <c r="C154" s="3">
        <v>1.7465561216396341</v>
      </c>
      <c r="D154" s="3">
        <v>4.4995404729160722</v>
      </c>
      <c r="E154" s="3">
        <v>4.0609642563361259</v>
      </c>
      <c r="F154" s="3">
        <v>1.026782185819761</v>
      </c>
      <c r="G154" s="3">
        <v>3.7035020078020056</v>
      </c>
      <c r="H154" s="3">
        <v>2.4035955789990915</v>
      </c>
      <c r="I154" s="3">
        <v>1.672230642614257</v>
      </c>
      <c r="J154" s="3">
        <v>2.2702087862645959</v>
      </c>
      <c r="K154" s="3">
        <v>2.4238686665198967</v>
      </c>
      <c r="L154" s="3">
        <v>5.5700846640895243</v>
      </c>
      <c r="M154" s="3">
        <v>1.4510811135126194</v>
      </c>
      <c r="N154" s="3">
        <v>1.5367995627082638</v>
      </c>
      <c r="O154" s="3">
        <v>2.79614381040698</v>
      </c>
      <c r="P154" s="3">
        <v>3.252593105866624</v>
      </c>
      <c r="Q154" s="3">
        <v>2.0684327420990405</v>
      </c>
      <c r="R154" s="3">
        <v>1.5701394895793614</v>
      </c>
      <c r="S154" s="3">
        <v>3.7724090852726717</v>
      </c>
      <c r="T154" s="3">
        <v>1.3150685274040359</v>
      </c>
      <c r="U154" s="3">
        <v>2.5465442602287447</v>
      </c>
      <c r="V154" s="3">
        <v>2.8685076974820634</v>
      </c>
      <c r="W154" s="3">
        <v>3.2563888984817306</v>
      </c>
      <c r="X154" s="3">
        <v>1.3492269392088851</v>
      </c>
      <c r="Y154" s="3">
        <v>2.4856756921659295</v>
      </c>
      <c r="Z154" s="3">
        <v>2.9969478000287162</v>
      </c>
      <c r="AA154" s="3">
        <v>4.0767038160263231</v>
      </c>
      <c r="AB154" s="3">
        <v>2.8214375114397603</v>
      </c>
      <c r="AC154" s="3">
        <v>1.7653228160838446</v>
      </c>
      <c r="AD154" s="3">
        <v>0.99347488827791131</v>
      </c>
      <c r="AE154" s="3">
        <v>1.7626817293146468</v>
      </c>
      <c r="AF154" s="3">
        <v>1.5114329596311942</v>
      </c>
      <c r="AG154" s="3">
        <v>1.7277705338097569</v>
      </c>
      <c r="AH154" s="3">
        <v>2.3488381312660098</v>
      </c>
      <c r="AI154" s="3">
        <v>0.96406357535007714</v>
      </c>
      <c r="AJ154" s="3">
        <v>1.1988592707650902</v>
      </c>
      <c r="AK154" s="3">
        <v>1.6849640216945008</v>
      </c>
      <c r="AL154" s="3">
        <v>2.2280164275385435</v>
      </c>
      <c r="AM154" s="3">
        <v>1.4304276729009631</v>
      </c>
      <c r="AN154" s="3">
        <v>1.4326541348933453</v>
      </c>
      <c r="AO154" s="3">
        <v>1.7314065349687002</v>
      </c>
      <c r="AP154" s="3">
        <v>1.2273480423540304</v>
      </c>
      <c r="AQ154" s="3">
        <v>2.5615920411144368</v>
      </c>
      <c r="AR154" s="3">
        <v>1.6317942667853174</v>
      </c>
      <c r="AT154" s="3">
        <v>1.3824508011356882</v>
      </c>
    </row>
    <row r="155" spans="1:46" x14ac:dyDescent="0.2">
      <c r="A155" s="15" t="s">
        <v>139</v>
      </c>
      <c r="B155" s="3">
        <v>1.9641067650179218</v>
      </c>
      <c r="C155" s="3">
        <v>1.7828249333666419</v>
      </c>
      <c r="D155" s="3">
        <v>5.0908883827422571</v>
      </c>
      <c r="E155" s="3">
        <v>3.8752336403487857</v>
      </c>
      <c r="F155" s="3">
        <v>0.96529096625615352</v>
      </c>
      <c r="G155" s="3">
        <v>3.6108989264396358</v>
      </c>
      <c r="H155" s="3">
        <v>2.8394061198658456</v>
      </c>
      <c r="I155" s="3">
        <v>2.8709880933385605</v>
      </c>
      <c r="J155" s="3">
        <v>2.5957176319924886</v>
      </c>
      <c r="K155" s="3">
        <v>2.8380455221641325</v>
      </c>
      <c r="L155" s="3">
        <v>5.9311863558505973</v>
      </c>
      <c r="M155" s="3">
        <v>1.4995655918833064</v>
      </c>
      <c r="N155" s="3">
        <v>1.4980048789649232</v>
      </c>
      <c r="O155" s="3">
        <v>3.9519521502927639</v>
      </c>
      <c r="P155" s="3">
        <v>3.0581612372700961</v>
      </c>
      <c r="Q155" s="3">
        <v>1.8573544977607988</v>
      </c>
      <c r="R155" s="3">
        <v>2.0566681001958678</v>
      </c>
      <c r="S155" s="3">
        <v>4.20599940917237</v>
      </c>
      <c r="T155" s="3">
        <v>1.2703406589737842</v>
      </c>
      <c r="U155" s="3">
        <v>2.8428494611563271</v>
      </c>
      <c r="V155" s="3">
        <v>3.2859670466807422</v>
      </c>
      <c r="W155" s="3">
        <v>4.0088988393805751</v>
      </c>
      <c r="X155" s="3">
        <v>1.6006215468199385</v>
      </c>
      <c r="Y155" s="3">
        <v>2.785376840221633</v>
      </c>
      <c r="Z155" s="3">
        <v>2.750016435283575</v>
      </c>
      <c r="AA155" s="3">
        <v>5.5837331429075174</v>
      </c>
      <c r="AB155" s="3">
        <v>2.9333415790287334</v>
      </c>
      <c r="AC155" s="3">
        <v>1.8294330279163038</v>
      </c>
      <c r="AD155" s="3">
        <v>1.5744619913884841</v>
      </c>
      <c r="AE155" s="3">
        <v>2.2848349974909135</v>
      </c>
      <c r="AF155" s="3">
        <v>1.4478049496400565</v>
      </c>
      <c r="AG155" s="3">
        <v>1.7979957657508043</v>
      </c>
      <c r="AH155" s="3">
        <v>2.9500202794953947</v>
      </c>
      <c r="AI155" s="3">
        <v>1.0382787985174684</v>
      </c>
      <c r="AJ155" s="3">
        <v>1.0846117752358719</v>
      </c>
      <c r="AK155" s="3">
        <v>2.0944311249949457</v>
      </c>
      <c r="AL155" s="3">
        <v>3.0433834544397431</v>
      </c>
      <c r="AM155" s="3">
        <v>1.5769104736756512</v>
      </c>
      <c r="AN155" s="3">
        <v>1.4533145409292323</v>
      </c>
      <c r="AO155" s="3">
        <v>1.9668420165566534</v>
      </c>
      <c r="AP155" s="3">
        <v>1.3795092047143049</v>
      </c>
      <c r="AQ155" s="3">
        <v>2.6407913408300541</v>
      </c>
      <c r="AR155" s="3">
        <v>1.4788346487685391</v>
      </c>
      <c r="AT155" s="3">
        <v>1.2255382228205809</v>
      </c>
    </row>
    <row r="158" spans="1:46" s="17" customFormat="1" x14ac:dyDescent="0.2">
      <c r="A158" s="17" t="s">
        <v>427</v>
      </c>
    </row>
    <row r="159" spans="1:46" x14ac:dyDescent="0.2">
      <c r="A159" t="s">
        <v>192</v>
      </c>
      <c r="B159" t="s">
        <v>332</v>
      </c>
      <c r="C159" t="s">
        <v>333</v>
      </c>
      <c r="D159" t="s">
        <v>334</v>
      </c>
      <c r="E159" t="s">
        <v>335</v>
      </c>
      <c r="F159" t="s">
        <v>336</v>
      </c>
      <c r="G159" t="s">
        <v>337</v>
      </c>
      <c r="H159" t="s">
        <v>338</v>
      </c>
      <c r="I159" t="s">
        <v>339</v>
      </c>
      <c r="J159" t="s">
        <v>340</v>
      </c>
      <c r="K159" t="s">
        <v>341</v>
      </c>
      <c r="L159" t="s">
        <v>342</v>
      </c>
      <c r="M159" t="s">
        <v>343</v>
      </c>
      <c r="N159" t="s">
        <v>344</v>
      </c>
      <c r="O159" t="s">
        <v>345</v>
      </c>
      <c r="P159" t="s">
        <v>346</v>
      </c>
      <c r="Q159" t="s">
        <v>347</v>
      </c>
      <c r="R159" t="s">
        <v>348</v>
      </c>
      <c r="S159" t="s">
        <v>349</v>
      </c>
      <c r="T159" t="s">
        <v>350</v>
      </c>
      <c r="U159" t="s">
        <v>351</v>
      </c>
      <c r="V159" t="s">
        <v>352</v>
      </c>
      <c r="W159" t="s">
        <v>353</v>
      </c>
      <c r="X159" t="s">
        <v>354</v>
      </c>
      <c r="Y159" t="s">
        <v>355</v>
      </c>
      <c r="Z159" t="s">
        <v>356</v>
      </c>
      <c r="AA159" t="s">
        <v>357</v>
      </c>
      <c r="AB159" t="s">
        <v>358</v>
      </c>
      <c r="AC159" t="s">
        <v>359</v>
      </c>
      <c r="AD159" t="s">
        <v>360</v>
      </c>
      <c r="AE159" t="s">
        <v>361</v>
      </c>
      <c r="AF159" t="s">
        <v>362</v>
      </c>
      <c r="AG159" t="s">
        <v>363</v>
      </c>
      <c r="AH159" t="s">
        <v>364</v>
      </c>
      <c r="AI159" t="s">
        <v>365</v>
      </c>
      <c r="AJ159" t="s">
        <v>366</v>
      </c>
      <c r="AK159" t="s">
        <v>367</v>
      </c>
      <c r="AL159" t="s">
        <v>368</v>
      </c>
      <c r="AM159" t="s">
        <v>369</v>
      </c>
      <c r="AN159" t="s">
        <v>370</v>
      </c>
      <c r="AO159" t="s">
        <v>371</v>
      </c>
      <c r="AP159" t="s">
        <v>372</v>
      </c>
      <c r="AQ159" t="s">
        <v>373</v>
      </c>
      <c r="AR159" t="s">
        <v>375</v>
      </c>
      <c r="AT159" t="s">
        <v>374</v>
      </c>
    </row>
    <row r="160" spans="1:46" x14ac:dyDescent="0.2">
      <c r="A160" t="s">
        <v>237</v>
      </c>
      <c r="B160" t="s">
        <v>238</v>
      </c>
      <c r="C160" t="s">
        <v>238</v>
      </c>
      <c r="D160" t="s">
        <v>238</v>
      </c>
      <c r="E160" t="s">
        <v>238</v>
      </c>
      <c r="F160" t="s">
        <v>238</v>
      </c>
      <c r="G160" t="s">
        <v>238</v>
      </c>
      <c r="H160" t="s">
        <v>238</v>
      </c>
      <c r="I160" t="s">
        <v>238</v>
      </c>
      <c r="J160" t="s">
        <v>238</v>
      </c>
      <c r="K160" t="s">
        <v>238</v>
      </c>
      <c r="L160" t="s">
        <v>238</v>
      </c>
      <c r="M160" t="s">
        <v>239</v>
      </c>
      <c r="N160" t="s">
        <v>239</v>
      </c>
      <c r="O160" t="s">
        <v>239</v>
      </c>
      <c r="P160" t="s">
        <v>239</v>
      </c>
      <c r="Q160" t="s">
        <v>239</v>
      </c>
      <c r="R160" t="s">
        <v>239</v>
      </c>
      <c r="S160" t="s">
        <v>239</v>
      </c>
      <c r="T160" t="s">
        <v>239</v>
      </c>
      <c r="U160" t="s">
        <v>239</v>
      </c>
      <c r="V160" t="s">
        <v>239</v>
      </c>
      <c r="W160" t="s">
        <v>239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T160" t="s">
        <v>3</v>
      </c>
    </row>
    <row r="161" spans="1:46" x14ac:dyDescent="0.2">
      <c r="A161" t="s">
        <v>422</v>
      </c>
      <c r="B161">
        <v>6.0530535000000003E-2</v>
      </c>
      <c r="C161">
        <v>3.6805485999999998E-2</v>
      </c>
      <c r="D161">
        <v>4.7961469E-2</v>
      </c>
      <c r="E161">
        <v>9.2999728000000004E-2</v>
      </c>
      <c r="F161">
        <v>3.8014014999999998E-2</v>
      </c>
      <c r="G161">
        <v>6.6112448000000004E-2</v>
      </c>
      <c r="H161">
        <v>4.2858199999999999E-2</v>
      </c>
      <c r="I161">
        <v>5.8584578999999998E-2</v>
      </c>
      <c r="J161">
        <v>6.6557088E-2</v>
      </c>
      <c r="K161">
        <v>0.11849733599999999</v>
      </c>
      <c r="L161">
        <v>0.10612827800000001</v>
      </c>
      <c r="M161">
        <v>4.8285766000000001E-2</v>
      </c>
      <c r="N161">
        <v>5.0830422E-2</v>
      </c>
      <c r="O161">
        <v>5.7965938000000002E-2</v>
      </c>
      <c r="P161">
        <v>6.3535596999999999E-2</v>
      </c>
      <c r="Q161">
        <v>4.5996108000000001E-2</v>
      </c>
      <c r="R161">
        <v>7.3402016E-2</v>
      </c>
      <c r="S161">
        <v>5.5557921000000003E-2</v>
      </c>
      <c r="T161">
        <v>3.0316141000000001E-2</v>
      </c>
      <c r="U161">
        <v>6.8632976999999998E-2</v>
      </c>
      <c r="V161">
        <v>6.2465518999999997E-2</v>
      </c>
      <c r="W161">
        <v>4.6200710999999998E-2</v>
      </c>
      <c r="X161">
        <v>5.6206342999999999E-2</v>
      </c>
      <c r="Y161">
        <v>5.8838643000000003E-2</v>
      </c>
      <c r="Z161">
        <v>5.4366589999999999E-2</v>
      </c>
      <c r="AA161">
        <v>5.3951125000000003E-2</v>
      </c>
      <c r="AB161">
        <v>4.990737E-2</v>
      </c>
      <c r="AC161">
        <v>3.0824963E-2</v>
      </c>
      <c r="AD161">
        <v>4.2621424999999998E-2</v>
      </c>
      <c r="AE161">
        <v>5.7686526000000002E-2</v>
      </c>
      <c r="AF161">
        <v>3.9125075000000002E-2</v>
      </c>
      <c r="AG161">
        <v>3.3138411999999999E-2</v>
      </c>
      <c r="AH161">
        <v>6.9829775999999996E-2</v>
      </c>
      <c r="AI161">
        <v>4.0611356000000001E-2</v>
      </c>
      <c r="AJ161">
        <v>2.9400351000000002E-2</v>
      </c>
      <c r="AK161">
        <v>4.0453228000000001E-2</v>
      </c>
      <c r="AL161">
        <v>4.2050996E-2</v>
      </c>
      <c r="AM161">
        <v>5.0611028000000002E-2</v>
      </c>
      <c r="AN161">
        <v>3.0140736000000001E-2</v>
      </c>
      <c r="AO161">
        <v>3.5977653999999998E-2</v>
      </c>
      <c r="AP161">
        <v>3.57419E-2</v>
      </c>
      <c r="AQ161">
        <v>5.2352830000000003E-2</v>
      </c>
      <c r="AR161">
        <v>4.6291997000000001E-2</v>
      </c>
      <c r="AT161">
        <v>3.8645432E-2</v>
      </c>
    </row>
    <row r="162" spans="1:46" x14ac:dyDescent="0.2">
      <c r="A162" t="s">
        <v>423</v>
      </c>
      <c r="B162">
        <v>3.7639337000000002E-2</v>
      </c>
      <c r="C162">
        <v>2.8571121000000001E-2</v>
      </c>
      <c r="D162">
        <v>2.4328468999999998E-2</v>
      </c>
      <c r="E162">
        <v>2.6427686999999998E-2</v>
      </c>
      <c r="F162">
        <v>2.7087064000000001E-2</v>
      </c>
      <c r="G162">
        <v>1.4832829E-2</v>
      </c>
      <c r="H162">
        <v>1.4406548E-2</v>
      </c>
      <c r="I162">
        <v>2.4584190999999998E-2</v>
      </c>
      <c r="J162">
        <v>2.9235166999999999E-2</v>
      </c>
      <c r="K162">
        <v>1.7933240999999999E-2</v>
      </c>
      <c r="L162">
        <v>2.4982582999999999E-2</v>
      </c>
      <c r="M162">
        <v>1.7967027E-2</v>
      </c>
      <c r="N162">
        <v>2.0030644E-2</v>
      </c>
      <c r="O162">
        <v>2.0118885999999999E-2</v>
      </c>
      <c r="P162">
        <v>1.2790068999999999E-2</v>
      </c>
      <c r="Q162">
        <v>2.6393651000000001E-2</v>
      </c>
      <c r="R162">
        <v>2.7401939E-2</v>
      </c>
      <c r="S162">
        <v>1.2383101000000001E-2</v>
      </c>
      <c r="T162">
        <v>1.7711853999999999E-2</v>
      </c>
      <c r="U162">
        <v>3.2336556000000002E-2</v>
      </c>
      <c r="V162">
        <v>1.4851026999999999E-2</v>
      </c>
      <c r="W162">
        <v>1.4057115E-2</v>
      </c>
      <c r="X162">
        <v>2.2804043999999999E-2</v>
      </c>
      <c r="Y162">
        <v>1.6853059E-2</v>
      </c>
      <c r="Z162">
        <v>1.7378635999999999E-2</v>
      </c>
      <c r="AA162">
        <v>1.5657003999999999E-2</v>
      </c>
      <c r="AB162">
        <v>1.4050063999999999E-2</v>
      </c>
      <c r="AC162">
        <v>9.9834299999999997E-3</v>
      </c>
      <c r="AD162">
        <v>2.6102461E-2</v>
      </c>
      <c r="AE162">
        <v>2.0179292000000001E-2</v>
      </c>
      <c r="AF162">
        <v>1.4898132999999999E-2</v>
      </c>
      <c r="AG162">
        <v>1.4295441000000001E-2</v>
      </c>
      <c r="AH162">
        <v>1.3332854E-2</v>
      </c>
      <c r="AI162">
        <v>7.2524909999999998E-3</v>
      </c>
      <c r="AJ162">
        <v>1.8304153E-2</v>
      </c>
      <c r="AK162">
        <v>1.0249780999999999E-2</v>
      </c>
      <c r="AL162">
        <v>1.0685127000000001E-2</v>
      </c>
      <c r="AM162">
        <v>1.5513519E-2</v>
      </c>
      <c r="AN162">
        <v>1.1764119999999999E-2</v>
      </c>
      <c r="AO162">
        <v>1.6892647E-2</v>
      </c>
      <c r="AP162">
        <v>1.4994683E-2</v>
      </c>
      <c r="AQ162">
        <v>1.9983376000000001E-2</v>
      </c>
      <c r="AR162">
        <v>1.8504349E-2</v>
      </c>
      <c r="AT162">
        <v>2.2577026E-2</v>
      </c>
    </row>
    <row r="163" spans="1:46" x14ac:dyDescent="0.2">
      <c r="A163" t="s">
        <v>424</v>
      </c>
      <c r="B163">
        <v>1.5074272999999999E-2</v>
      </c>
      <c r="C163">
        <v>8.8485089999999992E-3</v>
      </c>
      <c r="D163">
        <v>1.7205094000000001E-2</v>
      </c>
      <c r="E163">
        <v>1.3928065E-2</v>
      </c>
      <c r="F163">
        <v>1.2932996E-2</v>
      </c>
      <c r="G163">
        <v>2.6931933000000002E-2</v>
      </c>
      <c r="H163">
        <v>1.1512147E-2</v>
      </c>
      <c r="I163">
        <v>2.0726191000000001E-2</v>
      </c>
      <c r="J163">
        <v>9.1769130000000001E-3</v>
      </c>
      <c r="K163">
        <v>1.555457E-2</v>
      </c>
      <c r="L163">
        <v>2.4430434000000001E-2</v>
      </c>
      <c r="M163">
        <v>9.8218430000000002E-3</v>
      </c>
      <c r="N163">
        <v>8.9856580000000005E-3</v>
      </c>
      <c r="O163">
        <v>2.0916997E-2</v>
      </c>
      <c r="P163">
        <v>1.3587441E-2</v>
      </c>
      <c r="Q163">
        <v>6.7680270000000002E-3</v>
      </c>
      <c r="R163">
        <v>2.6351631E-2</v>
      </c>
      <c r="S163">
        <v>1.4182525E-2</v>
      </c>
      <c r="T163">
        <v>7.5919610000000004E-3</v>
      </c>
      <c r="U163">
        <v>1.6511184000000002E-2</v>
      </c>
      <c r="V163">
        <v>1.0491706999999999E-2</v>
      </c>
      <c r="W163">
        <v>8.6255299999999993E-3</v>
      </c>
      <c r="X163">
        <v>1.1113993000000001E-2</v>
      </c>
      <c r="Y163">
        <v>1.1599366999999999E-2</v>
      </c>
      <c r="Z163">
        <v>1.3196108999999999E-2</v>
      </c>
      <c r="AA163">
        <v>1.4150359E-2</v>
      </c>
      <c r="AB163">
        <v>1.2390141E-2</v>
      </c>
      <c r="AC163">
        <v>7.0386950000000002E-3</v>
      </c>
      <c r="AD163">
        <v>8.9808209999999999E-3</v>
      </c>
      <c r="AE163">
        <v>6.6887149999999996E-3</v>
      </c>
      <c r="AF163">
        <v>7.651148E-3</v>
      </c>
      <c r="AG163">
        <v>1.2308873E-2</v>
      </c>
      <c r="AH163">
        <v>9.3048469999999998E-3</v>
      </c>
      <c r="AI163">
        <v>9.8899580000000008E-3</v>
      </c>
      <c r="AJ163">
        <v>7.4798599999999996E-3</v>
      </c>
      <c r="AK163">
        <v>8.0960770000000001E-3</v>
      </c>
      <c r="AL163">
        <v>4.1918570000000002E-3</v>
      </c>
      <c r="AM163">
        <v>1.1735758000000001E-2</v>
      </c>
      <c r="AN163">
        <v>6.5801430000000001E-3</v>
      </c>
      <c r="AO163">
        <v>7.0964820000000003E-3</v>
      </c>
      <c r="AP163">
        <v>7.131147E-3</v>
      </c>
      <c r="AQ163">
        <v>1.0341660000000001E-2</v>
      </c>
      <c r="AR163">
        <v>9.1587969999999998E-3</v>
      </c>
      <c r="AT163">
        <v>9.5274999999999995E-3</v>
      </c>
    </row>
    <row r="164" spans="1:46" x14ac:dyDescent="0.2">
      <c r="A164" t="s">
        <v>141</v>
      </c>
      <c r="B164">
        <v>1.658379421</v>
      </c>
      <c r="C164">
        <v>1.018623619</v>
      </c>
      <c r="D164">
        <v>0.83522035800000005</v>
      </c>
      <c r="E164">
        <v>1.452722496</v>
      </c>
      <c r="F164">
        <v>1.160963338</v>
      </c>
      <c r="G164">
        <v>1.315266603</v>
      </c>
      <c r="H164">
        <v>1.199551467</v>
      </c>
      <c r="I164">
        <v>1.1930056149999999</v>
      </c>
      <c r="J164">
        <v>1.1809934289999999</v>
      </c>
      <c r="K164">
        <v>1.271269159</v>
      </c>
      <c r="L164">
        <v>1.2345564449999999</v>
      </c>
      <c r="M164">
        <v>0.752702867</v>
      </c>
      <c r="N164">
        <v>0.76474235199999996</v>
      </c>
      <c r="O164">
        <v>0.95749790499999998</v>
      </c>
      <c r="P164">
        <v>0.79005476500000005</v>
      </c>
      <c r="Q164">
        <v>1.1888461589999999</v>
      </c>
      <c r="R164">
        <v>1.128504763</v>
      </c>
      <c r="S164">
        <v>0.78918926599999994</v>
      </c>
      <c r="T164">
        <v>0.770450674</v>
      </c>
      <c r="U164">
        <v>1.6416203979999999</v>
      </c>
      <c r="V164">
        <v>0.73172800599999999</v>
      </c>
      <c r="W164">
        <v>0.97837842200000003</v>
      </c>
      <c r="X164">
        <v>0.658792873</v>
      </c>
      <c r="Y164">
        <v>0.80607318699999997</v>
      </c>
      <c r="Z164">
        <v>0.70444726400000002</v>
      </c>
      <c r="AA164">
        <v>0.59481057500000001</v>
      </c>
      <c r="AB164">
        <v>0.59734115899999995</v>
      </c>
      <c r="AC164">
        <v>0.578433945</v>
      </c>
      <c r="AD164">
        <v>0.85807743000000003</v>
      </c>
      <c r="AE164">
        <v>0.96971166399999997</v>
      </c>
      <c r="AF164">
        <v>0.54999809399999999</v>
      </c>
      <c r="AG164">
        <v>0.78624645199999998</v>
      </c>
      <c r="AH164">
        <v>0.77261074799999996</v>
      </c>
      <c r="AI164">
        <v>0.55899356499999997</v>
      </c>
      <c r="AJ164">
        <v>0.57627059999999997</v>
      </c>
      <c r="AK164">
        <v>0.59734711600000001</v>
      </c>
      <c r="AL164">
        <v>0.53949615500000003</v>
      </c>
      <c r="AM164">
        <v>0.70357225599999995</v>
      </c>
      <c r="AN164">
        <v>0.54606970899999996</v>
      </c>
      <c r="AO164">
        <v>0.71155971600000001</v>
      </c>
      <c r="AP164">
        <v>0.64058110300000004</v>
      </c>
      <c r="AQ164">
        <v>0.76772970500000004</v>
      </c>
      <c r="AR164">
        <v>0.661407254</v>
      </c>
      <c r="AT164">
        <v>0.526939873</v>
      </c>
    </row>
    <row r="165" spans="1:46" x14ac:dyDescent="0.2">
      <c r="A165" t="s">
        <v>142</v>
      </c>
      <c r="B165">
        <v>1.332705096</v>
      </c>
      <c r="C165">
        <v>0.66440044300000001</v>
      </c>
      <c r="D165">
        <v>0.79456132199999996</v>
      </c>
      <c r="E165">
        <v>1.870017818</v>
      </c>
      <c r="F165">
        <v>1.1080975</v>
      </c>
      <c r="G165">
        <v>1.104407592</v>
      </c>
      <c r="H165">
        <v>1.3917061310000001</v>
      </c>
      <c r="I165">
        <v>1.753742718</v>
      </c>
      <c r="J165">
        <v>0.98276333400000004</v>
      </c>
      <c r="K165">
        <v>1.4864792309999999</v>
      </c>
      <c r="L165">
        <v>1.8035534120000001</v>
      </c>
      <c r="M165">
        <v>0.69386854099999995</v>
      </c>
      <c r="N165">
        <v>0.74687482100000002</v>
      </c>
      <c r="O165">
        <v>0.74568081399999997</v>
      </c>
      <c r="P165">
        <v>1.0378619929999999</v>
      </c>
      <c r="Q165">
        <v>1.1075404760000001</v>
      </c>
      <c r="R165">
        <v>1.0065964469999999</v>
      </c>
      <c r="S165">
        <v>1.2747356919999999</v>
      </c>
      <c r="T165">
        <v>0.61589304899999997</v>
      </c>
      <c r="U165">
        <v>1.8532923720000001</v>
      </c>
      <c r="V165">
        <v>0.98279551399999998</v>
      </c>
      <c r="W165">
        <v>1.2353364650000001</v>
      </c>
      <c r="X165">
        <v>0.63373888599999995</v>
      </c>
      <c r="Y165">
        <v>1.078382782</v>
      </c>
      <c r="Z165">
        <v>0.93901029199999997</v>
      </c>
      <c r="AA165">
        <v>0.85566748999999998</v>
      </c>
      <c r="AB165">
        <v>0.57015695200000005</v>
      </c>
      <c r="AC165">
        <v>0.51518530900000004</v>
      </c>
      <c r="AD165">
        <v>0.97950899000000002</v>
      </c>
      <c r="AE165">
        <v>0.81677318799999998</v>
      </c>
      <c r="AF165">
        <v>0.59993390999999996</v>
      </c>
      <c r="AG165">
        <v>0.452704842</v>
      </c>
      <c r="AH165">
        <v>1.0657688249999999</v>
      </c>
      <c r="AI165">
        <v>0.71243395499999995</v>
      </c>
      <c r="AJ165">
        <v>0.61605525100000003</v>
      </c>
      <c r="AK165">
        <v>1.135952179</v>
      </c>
      <c r="AL165">
        <v>0.79568576599999996</v>
      </c>
      <c r="AM165">
        <v>0.91392862799999997</v>
      </c>
      <c r="AN165">
        <v>0.49540708999999999</v>
      </c>
      <c r="AO165">
        <v>0.74911067499999995</v>
      </c>
      <c r="AP165">
        <v>0.713731483</v>
      </c>
      <c r="AQ165">
        <v>0.84398267599999999</v>
      </c>
      <c r="AR165">
        <v>0.676132399</v>
      </c>
      <c r="AT165">
        <v>0.19599043199999999</v>
      </c>
    </row>
    <row r="166" spans="1:46" x14ac:dyDescent="0.2">
      <c r="A166" t="s">
        <v>143</v>
      </c>
      <c r="B166">
        <v>1.539649354</v>
      </c>
      <c r="C166">
        <v>0.86116326200000004</v>
      </c>
      <c r="D166">
        <v>0.87478428799999997</v>
      </c>
      <c r="E166">
        <v>1.9317639600000001</v>
      </c>
      <c r="F166">
        <v>1.0660850230000001</v>
      </c>
      <c r="G166">
        <v>1.020248536</v>
      </c>
      <c r="H166">
        <v>1.423254252</v>
      </c>
      <c r="I166">
        <v>1.4694017640000001</v>
      </c>
      <c r="J166">
        <v>0.93583248699999999</v>
      </c>
      <c r="K166">
        <v>1.224530884</v>
      </c>
      <c r="L166">
        <v>2.3751290030000001</v>
      </c>
      <c r="M166">
        <v>0.58716265300000003</v>
      </c>
      <c r="N166">
        <v>0.97865564699999996</v>
      </c>
      <c r="O166">
        <v>1.116462745</v>
      </c>
      <c r="P166">
        <v>1.1786666669999999</v>
      </c>
      <c r="Q166">
        <v>1.215597241</v>
      </c>
      <c r="R166">
        <v>1.17158874</v>
      </c>
      <c r="S166">
        <v>1.508175458</v>
      </c>
      <c r="T166">
        <v>0.73744605399999996</v>
      </c>
      <c r="U166">
        <v>1.729681614</v>
      </c>
      <c r="V166">
        <v>0.83531846600000004</v>
      </c>
      <c r="W166">
        <v>1.1132386160000001</v>
      </c>
      <c r="X166">
        <v>0.670332123</v>
      </c>
      <c r="Y166">
        <v>1.3257457939999999</v>
      </c>
      <c r="Z166">
        <v>1.298450742</v>
      </c>
      <c r="AA166">
        <v>1.0050644</v>
      </c>
      <c r="AB166">
        <v>0.91879122000000002</v>
      </c>
      <c r="AC166">
        <v>0.49068472400000002</v>
      </c>
      <c r="AD166">
        <v>0.74375620600000003</v>
      </c>
      <c r="AE166">
        <v>0.70730650699999997</v>
      </c>
      <c r="AF166">
        <v>0.45233538000000001</v>
      </c>
      <c r="AG166">
        <v>0.58284603099999999</v>
      </c>
      <c r="AH166">
        <v>0.96876722000000004</v>
      </c>
      <c r="AI166">
        <v>0.80152795600000004</v>
      </c>
      <c r="AJ166">
        <v>0.515761841</v>
      </c>
      <c r="AK166">
        <v>0.82132410700000003</v>
      </c>
      <c r="AL166">
        <v>0.74875796800000005</v>
      </c>
      <c r="AM166">
        <v>0.84633444300000005</v>
      </c>
      <c r="AN166">
        <v>0.50938616000000003</v>
      </c>
      <c r="AO166">
        <v>0.58861845099999999</v>
      </c>
      <c r="AP166">
        <v>0.70066867300000002</v>
      </c>
      <c r="AQ166">
        <v>0.93045481699999999</v>
      </c>
      <c r="AR166">
        <v>0.55526274200000003</v>
      </c>
      <c r="AT166">
        <v>0.184089802</v>
      </c>
    </row>
    <row r="167" spans="1:46" x14ac:dyDescent="0.2">
      <c r="A167" t="s">
        <v>144</v>
      </c>
      <c r="B167">
        <v>2.2329560470000001</v>
      </c>
      <c r="C167">
        <v>1.8725895560000001</v>
      </c>
      <c r="D167">
        <v>2.0200803939999998</v>
      </c>
      <c r="E167">
        <v>1.791731344</v>
      </c>
      <c r="F167">
        <v>1.59540572</v>
      </c>
      <c r="G167">
        <v>1.564834697</v>
      </c>
      <c r="H167">
        <v>1.4624439330000001</v>
      </c>
      <c r="I167">
        <v>2.036239154</v>
      </c>
      <c r="J167">
        <v>2.5694782420000002</v>
      </c>
      <c r="K167">
        <v>1.923528337</v>
      </c>
      <c r="L167">
        <v>2.1211027950000001</v>
      </c>
      <c r="M167">
        <v>1.1776141360000001</v>
      </c>
      <c r="N167">
        <v>1.9149721829999999</v>
      </c>
      <c r="O167">
        <v>1.716988559</v>
      </c>
      <c r="P167">
        <v>1.437339175</v>
      </c>
      <c r="Q167">
        <v>1.3121268479999999</v>
      </c>
      <c r="R167">
        <v>1.7979523260000001</v>
      </c>
      <c r="S167">
        <v>1.126286063</v>
      </c>
      <c r="T167">
        <v>1.0243840719999999</v>
      </c>
      <c r="U167">
        <v>1.654044888</v>
      </c>
      <c r="V167">
        <v>0.96898090100000001</v>
      </c>
      <c r="W167">
        <v>0.95087934200000002</v>
      </c>
      <c r="X167">
        <v>1.305458373</v>
      </c>
      <c r="Y167">
        <v>1.5308764269999999</v>
      </c>
      <c r="Z167">
        <v>1.1264815079999999</v>
      </c>
      <c r="AA167">
        <v>1.1476252339999999</v>
      </c>
      <c r="AB167">
        <v>0.95605946100000005</v>
      </c>
      <c r="AC167">
        <v>0.83566822699999999</v>
      </c>
      <c r="AD167">
        <v>1.6481304530000001</v>
      </c>
      <c r="AE167">
        <v>1.242390739</v>
      </c>
      <c r="AF167">
        <v>1.086155489</v>
      </c>
      <c r="AG167">
        <v>1.1355349020000001</v>
      </c>
      <c r="AH167">
        <v>1.2718919950000001</v>
      </c>
      <c r="AI167">
        <v>0.75944965900000005</v>
      </c>
      <c r="AJ167">
        <v>1.0930780389999999</v>
      </c>
      <c r="AK167">
        <v>0.95067394900000002</v>
      </c>
      <c r="AL167">
        <v>0.792489361</v>
      </c>
      <c r="AM167">
        <v>1.323863013</v>
      </c>
      <c r="AN167">
        <v>0.93811331099999995</v>
      </c>
      <c r="AO167">
        <v>1.1989219390000001</v>
      </c>
      <c r="AP167">
        <v>1.086505692</v>
      </c>
      <c r="AQ167">
        <v>1.215048777</v>
      </c>
      <c r="AR167">
        <v>0.988620889</v>
      </c>
      <c r="AT167">
        <v>0.89755449200000004</v>
      </c>
    </row>
    <row r="168" spans="1:46" x14ac:dyDescent="0.2">
      <c r="A168" t="s">
        <v>145</v>
      </c>
      <c r="B168">
        <v>0.58198502500000004</v>
      </c>
      <c r="C168">
        <v>0.46931304899999998</v>
      </c>
      <c r="D168">
        <v>0.49583626400000003</v>
      </c>
      <c r="E168">
        <v>0.46414701200000003</v>
      </c>
      <c r="F168">
        <v>0.423760735</v>
      </c>
      <c r="G168">
        <v>0.58594560699999998</v>
      </c>
      <c r="H168">
        <v>0.41056100699999998</v>
      </c>
      <c r="I168">
        <v>0.64481405199999997</v>
      </c>
      <c r="J168">
        <v>0.288190167</v>
      </c>
      <c r="K168">
        <v>0.54040944499999999</v>
      </c>
      <c r="L168">
        <v>0.38908883799999999</v>
      </c>
      <c r="M168">
        <v>0.375241516</v>
      </c>
      <c r="N168">
        <v>0.48810697600000003</v>
      </c>
      <c r="O168">
        <v>0.45727039000000003</v>
      </c>
      <c r="P168">
        <v>0.40750931000000001</v>
      </c>
      <c r="Q168">
        <v>0.38155787099999999</v>
      </c>
      <c r="R168">
        <v>0.52584569000000003</v>
      </c>
      <c r="S168">
        <v>0.31054536199999999</v>
      </c>
      <c r="T168">
        <v>0.330840776</v>
      </c>
      <c r="U168">
        <v>0.54038781300000005</v>
      </c>
      <c r="V168">
        <v>0.368061203</v>
      </c>
      <c r="W168">
        <v>0.27703503099999999</v>
      </c>
      <c r="X168">
        <v>0.38819353099999998</v>
      </c>
      <c r="Y168">
        <v>0.37399929700000001</v>
      </c>
      <c r="Z168">
        <v>0.29388285800000002</v>
      </c>
      <c r="AA168">
        <v>0.35626236900000002</v>
      </c>
      <c r="AB168">
        <v>0.29096379300000003</v>
      </c>
      <c r="AC168">
        <v>0.25658799500000001</v>
      </c>
      <c r="AD168">
        <v>0.442954927</v>
      </c>
      <c r="AE168">
        <v>0.39020842</v>
      </c>
      <c r="AF168">
        <v>0.37007918000000001</v>
      </c>
      <c r="AG168">
        <v>0.32460906099999998</v>
      </c>
      <c r="AH168">
        <v>0.45607525300000001</v>
      </c>
      <c r="AI168">
        <v>0.23730705799999999</v>
      </c>
      <c r="AJ168">
        <v>0.32713389799999998</v>
      </c>
      <c r="AK168">
        <v>0.36785142999999998</v>
      </c>
      <c r="AL168">
        <v>0.24229894599999999</v>
      </c>
      <c r="AM168">
        <v>0.370909712</v>
      </c>
      <c r="AN168">
        <v>0.32222042499999998</v>
      </c>
      <c r="AO168">
        <v>0.35065378200000002</v>
      </c>
      <c r="AP168">
        <v>0.31014255499999999</v>
      </c>
      <c r="AQ168">
        <v>0.40107324599999999</v>
      </c>
      <c r="AR168">
        <v>0.33967437099999997</v>
      </c>
      <c r="AT168">
        <v>0.62798625600000002</v>
      </c>
    </row>
    <row r="169" spans="1:46" x14ac:dyDescent="0.2">
      <c r="A169" t="s">
        <v>146</v>
      </c>
      <c r="B169">
        <v>4.2828168399999997</v>
      </c>
      <c r="C169">
        <v>3.157964062</v>
      </c>
      <c r="D169">
        <v>2.6558047079999998</v>
      </c>
      <c r="E169">
        <v>3.8475342010000002</v>
      </c>
      <c r="F169">
        <v>3.7469439150000001</v>
      </c>
      <c r="G169">
        <v>4.460452976</v>
      </c>
      <c r="H169">
        <v>3.4061468320000001</v>
      </c>
      <c r="I169">
        <v>4.9606878219999997</v>
      </c>
      <c r="J169">
        <v>4.3757876649999998</v>
      </c>
      <c r="K169">
        <v>5.1404758089999998</v>
      </c>
      <c r="L169">
        <v>4.2747101220000001</v>
      </c>
      <c r="M169">
        <v>3.3779450029999998</v>
      </c>
      <c r="N169">
        <v>3.0207025199999999</v>
      </c>
      <c r="O169">
        <v>4.6254297519999996</v>
      </c>
      <c r="P169">
        <v>4.4178488500000004</v>
      </c>
      <c r="Q169">
        <v>4.4468982910000001</v>
      </c>
      <c r="R169">
        <v>5.7903653449999997</v>
      </c>
      <c r="S169">
        <v>4.1894503810000003</v>
      </c>
      <c r="T169">
        <v>4.2102047919999999</v>
      </c>
      <c r="U169">
        <v>7.7327771670000001</v>
      </c>
      <c r="V169">
        <v>4.6914162529999999</v>
      </c>
      <c r="W169">
        <v>4.2246667039999997</v>
      </c>
      <c r="X169">
        <v>3.7827086169999999</v>
      </c>
      <c r="Y169">
        <v>3.9034253799999998</v>
      </c>
      <c r="Z169">
        <v>4.2035434</v>
      </c>
      <c r="AA169">
        <v>4.2566999589999996</v>
      </c>
      <c r="AB169">
        <v>3.8015087520000002</v>
      </c>
      <c r="AC169">
        <v>3.271649392</v>
      </c>
      <c r="AD169">
        <v>3.392901529</v>
      </c>
      <c r="AE169">
        <v>4.9700252479999998</v>
      </c>
      <c r="AF169">
        <v>3.060451697</v>
      </c>
      <c r="AG169">
        <v>3.688719715</v>
      </c>
      <c r="AH169">
        <v>4.1844977119999998</v>
      </c>
      <c r="AI169">
        <v>2.656837291</v>
      </c>
      <c r="AJ169">
        <v>3.2527159609999998</v>
      </c>
      <c r="AK169">
        <v>3.9314128350000002</v>
      </c>
      <c r="AL169">
        <v>3.094967488</v>
      </c>
      <c r="AM169">
        <v>3.8355621819999999</v>
      </c>
      <c r="AN169">
        <v>3.198559038</v>
      </c>
      <c r="AO169">
        <v>4.2668216819999998</v>
      </c>
      <c r="AP169">
        <v>3.0785083769999999</v>
      </c>
      <c r="AQ169">
        <v>3.6709275699999999</v>
      </c>
      <c r="AR169">
        <v>3.0581354030000001</v>
      </c>
      <c r="AT169">
        <v>2.4114071689999999</v>
      </c>
    </row>
    <row r="170" spans="1:46" x14ac:dyDescent="0.2">
      <c r="A170" t="s">
        <v>147</v>
      </c>
      <c r="B170">
        <v>1.3413837019999999</v>
      </c>
      <c r="C170">
        <v>0.75510237099999999</v>
      </c>
      <c r="D170">
        <v>0.81943215400000002</v>
      </c>
      <c r="E170">
        <v>1.163431281</v>
      </c>
      <c r="F170">
        <v>1.521811655</v>
      </c>
      <c r="G170">
        <v>1.4340125960000001</v>
      </c>
      <c r="H170">
        <v>1.1331054620000001</v>
      </c>
      <c r="I170">
        <v>1.91729588</v>
      </c>
      <c r="J170">
        <v>1.4102036200000001</v>
      </c>
      <c r="K170">
        <v>2.0651487419999999</v>
      </c>
      <c r="L170">
        <v>1.479632633</v>
      </c>
      <c r="M170">
        <v>1.2088828149999999</v>
      </c>
      <c r="N170">
        <v>0.91841896099999998</v>
      </c>
      <c r="O170">
        <v>1.370518302</v>
      </c>
      <c r="P170">
        <v>1.6807856880000001</v>
      </c>
      <c r="Q170">
        <v>1.329952078</v>
      </c>
      <c r="R170">
        <v>1.9764577290000001</v>
      </c>
      <c r="S170">
        <v>1.5612641380000001</v>
      </c>
      <c r="T170">
        <v>1.253095289</v>
      </c>
      <c r="U170">
        <v>2.5501958789999999</v>
      </c>
      <c r="V170">
        <v>2.2236041090000001</v>
      </c>
      <c r="W170">
        <v>1.488163066</v>
      </c>
      <c r="X170">
        <v>1.3447991939999999</v>
      </c>
      <c r="Y170">
        <v>1.383827149</v>
      </c>
      <c r="Z170">
        <v>1.1149803410000001</v>
      </c>
      <c r="AA170">
        <v>1.651265092</v>
      </c>
      <c r="AB170">
        <v>1.507062084</v>
      </c>
      <c r="AC170">
        <v>1.1827776720000001</v>
      </c>
      <c r="AD170">
        <v>1.4220579689999999</v>
      </c>
      <c r="AE170">
        <v>2.082863766</v>
      </c>
      <c r="AF170">
        <v>1.2428845589999999</v>
      </c>
      <c r="AG170">
        <v>1.0143710930000001</v>
      </c>
      <c r="AH170">
        <v>1.9456533460000001</v>
      </c>
      <c r="AI170">
        <v>0.82878105400000002</v>
      </c>
      <c r="AJ170">
        <v>1.232340386</v>
      </c>
      <c r="AK170">
        <v>1.8639609130000001</v>
      </c>
      <c r="AL170">
        <v>1.30044841</v>
      </c>
      <c r="AM170">
        <v>1.714341468</v>
      </c>
      <c r="AN170">
        <v>1.3268444429999999</v>
      </c>
      <c r="AO170">
        <v>2.0406432130000001</v>
      </c>
      <c r="AP170">
        <v>1.204118606</v>
      </c>
      <c r="AQ170">
        <v>1.480047246</v>
      </c>
      <c r="AR170">
        <v>1.589975903</v>
      </c>
      <c r="AT170">
        <v>0.40667436200000001</v>
      </c>
    </row>
    <row r="171" spans="1:46" x14ac:dyDescent="0.2">
      <c r="A171" t="s">
        <v>148</v>
      </c>
      <c r="B171">
        <v>1.226773227</v>
      </c>
      <c r="C171">
        <v>0.834054772</v>
      </c>
      <c r="D171">
        <v>0.94895562700000002</v>
      </c>
      <c r="E171">
        <v>1.2755594480000001</v>
      </c>
      <c r="F171">
        <v>1.230886012</v>
      </c>
      <c r="G171">
        <v>1.138833553</v>
      </c>
      <c r="H171">
        <v>1.557133831</v>
      </c>
      <c r="I171">
        <v>1.5297111779999999</v>
      </c>
      <c r="J171">
        <v>1.737069126</v>
      </c>
      <c r="K171">
        <v>1.9012963380000001</v>
      </c>
      <c r="L171">
        <v>2.0483636440000001</v>
      </c>
      <c r="M171">
        <v>1.2082478679999999</v>
      </c>
      <c r="N171">
        <v>1.221735461</v>
      </c>
      <c r="O171">
        <v>1.7647271259999999</v>
      </c>
      <c r="P171">
        <v>1.722938299</v>
      </c>
      <c r="Q171">
        <v>1.355627557</v>
      </c>
      <c r="R171">
        <v>2.1053382119999999</v>
      </c>
      <c r="S171">
        <v>1.544935927</v>
      </c>
      <c r="T171">
        <v>1.315741209</v>
      </c>
      <c r="U171">
        <v>2.7836870440000001</v>
      </c>
      <c r="V171">
        <v>1.7070262549999999</v>
      </c>
      <c r="W171">
        <v>1.6502805780000001</v>
      </c>
      <c r="X171">
        <v>1.367340845</v>
      </c>
      <c r="Y171">
        <v>1.649865446</v>
      </c>
      <c r="Z171">
        <v>1.79702367</v>
      </c>
      <c r="AA171">
        <v>1.8244600710000001</v>
      </c>
      <c r="AB171">
        <v>1.6151853329999999</v>
      </c>
      <c r="AC171">
        <v>0.98809471699999996</v>
      </c>
      <c r="AD171">
        <v>1.2976567429999999</v>
      </c>
      <c r="AE171">
        <v>1.863497205</v>
      </c>
      <c r="AF171">
        <v>0.938780646</v>
      </c>
      <c r="AG171">
        <v>1.314953614</v>
      </c>
      <c r="AH171">
        <v>1.398805673</v>
      </c>
      <c r="AI171">
        <v>0.86713141500000002</v>
      </c>
      <c r="AJ171">
        <v>0.99739218299999999</v>
      </c>
      <c r="AK171">
        <v>1.202782161</v>
      </c>
      <c r="AL171">
        <v>1.316898482</v>
      </c>
      <c r="AM171">
        <v>1.5431774659999999</v>
      </c>
      <c r="AN171">
        <v>1.056135286</v>
      </c>
      <c r="AO171">
        <v>1.4598671299999999</v>
      </c>
      <c r="AP171">
        <v>0.93121673900000002</v>
      </c>
      <c r="AQ171">
        <v>1.684626041</v>
      </c>
      <c r="AR171">
        <v>1.2498009240000001</v>
      </c>
      <c r="AT171">
        <v>0.49900850499999999</v>
      </c>
    </row>
    <row r="172" spans="1:46" x14ac:dyDescent="0.2">
      <c r="A172" t="s">
        <v>149</v>
      </c>
      <c r="B172">
        <v>3.178395488</v>
      </c>
      <c r="C172">
        <v>2.9088563199999999</v>
      </c>
      <c r="D172">
        <v>3.9119893289999998</v>
      </c>
      <c r="E172">
        <v>3.5038172319999998</v>
      </c>
      <c r="F172">
        <v>3.6771438930000002</v>
      </c>
      <c r="G172">
        <v>3.4340902099999999</v>
      </c>
      <c r="H172">
        <v>3.5588784410000001</v>
      </c>
      <c r="I172">
        <v>5.5060633259999996</v>
      </c>
      <c r="J172">
        <v>6.1471714930000001</v>
      </c>
      <c r="K172">
        <v>5.7507876089999996</v>
      </c>
      <c r="L172">
        <v>5.5286351509999996</v>
      </c>
      <c r="M172">
        <v>3.9120399419999998</v>
      </c>
      <c r="N172">
        <v>4.7261859570000002</v>
      </c>
      <c r="O172">
        <v>6.3506449890000001</v>
      </c>
      <c r="P172">
        <v>5.8855932820000003</v>
      </c>
      <c r="Q172">
        <v>3.4561550990000001</v>
      </c>
      <c r="R172">
        <v>7.5870581550000002</v>
      </c>
      <c r="S172">
        <v>4.6334681480000004</v>
      </c>
      <c r="T172">
        <v>3.8988065110000001</v>
      </c>
      <c r="U172">
        <v>7.4462247399999999</v>
      </c>
      <c r="V172">
        <v>4.9343455120000002</v>
      </c>
      <c r="W172">
        <v>4.414925309</v>
      </c>
      <c r="X172">
        <v>5.2950169499999999</v>
      </c>
      <c r="Y172">
        <v>4.3715854380000003</v>
      </c>
      <c r="Z172">
        <v>4.362266397</v>
      </c>
      <c r="AA172">
        <v>6.1760325409999997</v>
      </c>
      <c r="AB172">
        <v>4.3806144680000001</v>
      </c>
      <c r="AC172">
        <v>3.6410314349999999</v>
      </c>
      <c r="AD172">
        <v>5.0484139920000004</v>
      </c>
      <c r="AE172">
        <v>5.4227661989999998</v>
      </c>
      <c r="AF172">
        <v>4.0124756929999998</v>
      </c>
      <c r="AG172">
        <v>4.5434845350000002</v>
      </c>
      <c r="AH172">
        <v>5.8121930329999998</v>
      </c>
      <c r="AI172">
        <v>2.8018243740000002</v>
      </c>
      <c r="AJ172">
        <v>4.1633902110000003</v>
      </c>
      <c r="AK172">
        <v>3.799414997</v>
      </c>
      <c r="AL172">
        <v>3.1914487020000002</v>
      </c>
      <c r="AM172">
        <v>5.8621223760000003</v>
      </c>
      <c r="AN172">
        <v>4.6420392469999996</v>
      </c>
      <c r="AO172">
        <v>5.5454114450000001</v>
      </c>
      <c r="AP172">
        <v>3.8374347819999999</v>
      </c>
      <c r="AQ172">
        <v>5.1084678539999997</v>
      </c>
      <c r="AR172">
        <v>4.5169830700000002</v>
      </c>
      <c r="AT172">
        <v>2.7820621480000001</v>
      </c>
    </row>
    <row r="173" spans="1:46" x14ac:dyDescent="0.2">
      <c r="A173" t="s">
        <v>150</v>
      </c>
      <c r="B173">
        <v>0.68477913800000001</v>
      </c>
      <c r="C173">
        <v>0.57352073699999995</v>
      </c>
      <c r="D173">
        <v>0.62608634699999999</v>
      </c>
      <c r="E173">
        <v>0.58531996500000005</v>
      </c>
      <c r="F173">
        <v>0.72448220299999999</v>
      </c>
      <c r="G173">
        <v>0.96238325599999996</v>
      </c>
      <c r="H173">
        <v>0.62239304699999998</v>
      </c>
      <c r="I173">
        <v>1.102237007</v>
      </c>
      <c r="J173">
        <v>0.72644091700000002</v>
      </c>
      <c r="K173">
        <v>0.94677443999999999</v>
      </c>
      <c r="L173">
        <v>0.65790166000000005</v>
      </c>
      <c r="M173">
        <v>0.79861998099999998</v>
      </c>
      <c r="N173">
        <v>0.77784393399999996</v>
      </c>
      <c r="O173">
        <v>1.05722922</v>
      </c>
      <c r="P173">
        <v>0.95076451299999998</v>
      </c>
      <c r="Q173">
        <v>0.65497954700000005</v>
      </c>
      <c r="R173">
        <v>1.29917982</v>
      </c>
      <c r="S173">
        <v>0.74537584999999995</v>
      </c>
      <c r="T173">
        <v>0.75652391600000002</v>
      </c>
      <c r="U173">
        <v>1.4243867610000001</v>
      </c>
      <c r="V173">
        <v>1.093098753</v>
      </c>
      <c r="W173">
        <v>0.67279398899999998</v>
      </c>
      <c r="X173">
        <v>0.87853928699999995</v>
      </c>
      <c r="Y173">
        <v>0.75375263699999995</v>
      </c>
      <c r="Z173">
        <v>0.71448533000000003</v>
      </c>
      <c r="AA173">
        <v>0.79025088700000001</v>
      </c>
      <c r="AB173">
        <v>0.771013591</v>
      </c>
      <c r="AC173">
        <v>0.59819185500000005</v>
      </c>
      <c r="AD173">
        <v>0.91459789300000005</v>
      </c>
      <c r="AE173">
        <v>1.0089032</v>
      </c>
      <c r="AF173">
        <v>0.79745046500000005</v>
      </c>
      <c r="AG173">
        <v>0.81201018800000002</v>
      </c>
      <c r="AH173">
        <v>1.0566915830000001</v>
      </c>
      <c r="AI173">
        <v>0.541552535</v>
      </c>
      <c r="AJ173">
        <v>0.66933133600000005</v>
      </c>
      <c r="AK173">
        <v>0.753839594</v>
      </c>
      <c r="AL173">
        <v>0.58109508799999998</v>
      </c>
      <c r="AM173">
        <v>0.84567585000000001</v>
      </c>
      <c r="AN173">
        <v>0.71254681900000005</v>
      </c>
      <c r="AO173">
        <v>0.97146610300000003</v>
      </c>
      <c r="AP173">
        <v>0.62431211099999995</v>
      </c>
      <c r="AQ173">
        <v>0.87188124300000003</v>
      </c>
      <c r="AR173">
        <v>0.76380368899999995</v>
      </c>
      <c r="AT173">
        <v>1.7032322470000001</v>
      </c>
    </row>
    <row r="174" spans="1:46" x14ac:dyDescent="0.2">
      <c r="A174" t="s">
        <v>425</v>
      </c>
      <c r="B174">
        <v>7.1303267000000004E-2</v>
      </c>
      <c r="C174">
        <v>5.7834498999999998E-2</v>
      </c>
      <c r="D174">
        <v>5.2017511000000002E-2</v>
      </c>
      <c r="E174">
        <v>6.1419986000000003E-2</v>
      </c>
      <c r="F174">
        <v>7.1116490000000004E-2</v>
      </c>
      <c r="G174">
        <v>0.10237238999999999</v>
      </c>
      <c r="H174">
        <v>5.6968761999999999E-2</v>
      </c>
      <c r="I174">
        <v>9.8326205E-2</v>
      </c>
      <c r="J174">
        <v>9.5508747000000005E-2</v>
      </c>
      <c r="K174">
        <v>0.122840834</v>
      </c>
      <c r="L174">
        <v>8.0067414000000003E-2</v>
      </c>
      <c r="M174">
        <v>6.3965991E-2</v>
      </c>
      <c r="N174">
        <v>6.2640144999999994E-2</v>
      </c>
      <c r="O174">
        <v>0.105191691</v>
      </c>
      <c r="P174">
        <v>0.11290251900000001</v>
      </c>
      <c r="Q174">
        <v>5.1655435999999999E-2</v>
      </c>
      <c r="R174">
        <v>0.109663261</v>
      </c>
      <c r="S174">
        <v>7.3316588000000002E-2</v>
      </c>
      <c r="T174">
        <v>8.1435342999999993E-2</v>
      </c>
      <c r="U174">
        <v>0.155900341</v>
      </c>
      <c r="V174">
        <v>0.13279503500000001</v>
      </c>
      <c r="W174">
        <v>5.9879065000000002E-2</v>
      </c>
      <c r="X174">
        <v>8.7087259E-2</v>
      </c>
      <c r="Y174">
        <v>7.3710579999999998E-2</v>
      </c>
      <c r="Z174">
        <v>7.3765997999999999E-2</v>
      </c>
      <c r="AA174">
        <v>0.10165097100000001</v>
      </c>
      <c r="AB174">
        <v>7.7933396000000002E-2</v>
      </c>
      <c r="AC174">
        <v>7.5015427999999995E-2</v>
      </c>
      <c r="AD174">
        <v>9.0251625000000002E-2</v>
      </c>
      <c r="AE174">
        <v>0.110905288</v>
      </c>
      <c r="AF174">
        <v>5.6842186000000003E-2</v>
      </c>
      <c r="AG174">
        <v>8.5730616999999995E-2</v>
      </c>
      <c r="AH174">
        <v>7.9694650000000006E-2</v>
      </c>
      <c r="AI174">
        <v>4.6654376999999997E-2</v>
      </c>
      <c r="AJ174">
        <v>5.5827048999999997E-2</v>
      </c>
      <c r="AK174">
        <v>0.102033389</v>
      </c>
      <c r="AL174">
        <v>5.8601527E-2</v>
      </c>
      <c r="AM174">
        <v>8.6659837000000003E-2</v>
      </c>
      <c r="AN174">
        <v>6.5301196000000006E-2</v>
      </c>
      <c r="AO174">
        <v>9.5563943999999998E-2</v>
      </c>
      <c r="AP174">
        <v>6.5670043999999997E-2</v>
      </c>
      <c r="AQ174">
        <v>8.0543038999999997E-2</v>
      </c>
      <c r="AR174">
        <v>7.8976788000000006E-2</v>
      </c>
      <c r="AT174">
        <v>5.7181140999999998E-2</v>
      </c>
    </row>
    <row r="175" spans="1:46" x14ac:dyDescent="0.2">
      <c r="A175" t="s">
        <v>153</v>
      </c>
      <c r="B175">
        <v>0.11793018</v>
      </c>
      <c r="C175">
        <v>0.106332946</v>
      </c>
      <c r="D175">
        <v>9.7441033999999996E-2</v>
      </c>
      <c r="E175">
        <v>9.3422522999999993E-2</v>
      </c>
      <c r="F175">
        <v>0.17244358700000001</v>
      </c>
      <c r="G175">
        <v>0.16910862199999999</v>
      </c>
      <c r="H175">
        <v>0.167602058</v>
      </c>
      <c r="I175">
        <v>0.20077441600000001</v>
      </c>
      <c r="J175">
        <v>0.17607589900000001</v>
      </c>
      <c r="K175">
        <v>0.21081810600000001</v>
      </c>
      <c r="L175">
        <v>0.14721858500000001</v>
      </c>
      <c r="M175">
        <v>0.14667285099999999</v>
      </c>
      <c r="N175">
        <v>0.102922661</v>
      </c>
      <c r="O175">
        <v>0.14551613599999999</v>
      </c>
      <c r="P175">
        <v>0.21054399400000001</v>
      </c>
      <c r="Q175">
        <v>0.12393598</v>
      </c>
      <c r="R175">
        <v>0.21927101800000001</v>
      </c>
      <c r="S175">
        <v>0.16347510200000001</v>
      </c>
      <c r="T175">
        <v>0.156451534</v>
      </c>
      <c r="U175">
        <v>0.25650817799999998</v>
      </c>
      <c r="V175">
        <v>0.17336828400000001</v>
      </c>
      <c r="W175">
        <v>0.14355019399999999</v>
      </c>
      <c r="X175">
        <v>0.17057642000000001</v>
      </c>
      <c r="Y175">
        <v>0.16833788599999999</v>
      </c>
      <c r="Z175">
        <v>0.157028056</v>
      </c>
      <c r="AA175">
        <v>0.207824757</v>
      </c>
      <c r="AB175">
        <v>0.14674314199999999</v>
      </c>
      <c r="AC175">
        <v>0.15179478199999999</v>
      </c>
      <c r="AD175">
        <v>0.16931782000000001</v>
      </c>
      <c r="AE175">
        <v>0.24792856799999999</v>
      </c>
      <c r="AF175">
        <v>0.139431375</v>
      </c>
      <c r="AG175">
        <v>0.13111906200000001</v>
      </c>
      <c r="AH175">
        <v>0.169745322</v>
      </c>
      <c r="AI175">
        <v>0.11410774</v>
      </c>
      <c r="AJ175">
        <v>0.14181331</v>
      </c>
      <c r="AK175">
        <v>0.192154871</v>
      </c>
      <c r="AL175">
        <v>0.18465177399999999</v>
      </c>
      <c r="AM175">
        <v>0.187955069</v>
      </c>
      <c r="AN175">
        <v>0.144897527</v>
      </c>
      <c r="AO175">
        <v>0.208567115</v>
      </c>
      <c r="AP175">
        <v>0.15763123500000001</v>
      </c>
      <c r="AQ175">
        <v>0.173402161</v>
      </c>
      <c r="AR175">
        <v>0.167187593</v>
      </c>
      <c r="AT175">
        <v>3.8626597999999998E-2</v>
      </c>
    </row>
    <row r="176" spans="1:46" x14ac:dyDescent="0.2">
      <c r="A176" t="s">
        <v>426</v>
      </c>
      <c r="B176">
        <v>5.6685581999999998E-2</v>
      </c>
      <c r="C176">
        <v>5.4243917000000003E-2</v>
      </c>
      <c r="D176">
        <v>4.5291176000000002E-2</v>
      </c>
      <c r="E176">
        <v>5.1043396999999997E-2</v>
      </c>
      <c r="F176">
        <v>6.2648034000000005E-2</v>
      </c>
      <c r="G176">
        <v>5.5246537999999998E-2</v>
      </c>
      <c r="H176">
        <v>5.2770883999999997E-2</v>
      </c>
      <c r="I176">
        <v>7.1837654000000001E-2</v>
      </c>
      <c r="J176">
        <v>0.102431089</v>
      </c>
      <c r="K176">
        <v>5.9727757999999999E-2</v>
      </c>
      <c r="L176">
        <v>5.6437741999999999E-2</v>
      </c>
      <c r="M176">
        <v>4.2878791999999999E-2</v>
      </c>
      <c r="N176">
        <v>5.2283422000000003E-2</v>
      </c>
      <c r="O176">
        <v>8.2342617000000007E-2</v>
      </c>
      <c r="P176">
        <v>5.7416574999999997E-2</v>
      </c>
      <c r="Q176">
        <v>7.2247448000000006E-2</v>
      </c>
      <c r="R176">
        <v>0.111793764</v>
      </c>
      <c r="S176">
        <v>5.7544666000000001E-2</v>
      </c>
      <c r="T176">
        <v>5.7078482999999999E-2</v>
      </c>
      <c r="U176">
        <v>9.1527860000000003E-2</v>
      </c>
      <c r="V176">
        <v>7.5498834000000001E-2</v>
      </c>
      <c r="W176">
        <v>5.8385513999999999E-2</v>
      </c>
      <c r="X176">
        <v>5.8522638000000002E-2</v>
      </c>
      <c r="Y176">
        <v>6.0951615000000001E-2</v>
      </c>
      <c r="Z176">
        <v>5.1681627000000001E-2</v>
      </c>
      <c r="AA176">
        <v>6.3535458000000003E-2</v>
      </c>
      <c r="AB176">
        <v>6.9971692000000002E-2</v>
      </c>
      <c r="AC176">
        <v>3.9304440000000003E-2</v>
      </c>
      <c r="AD176">
        <v>7.8020097999999996E-2</v>
      </c>
      <c r="AE176">
        <v>6.9489569000000001E-2</v>
      </c>
      <c r="AF176">
        <v>5.8034341000000003E-2</v>
      </c>
      <c r="AG176">
        <v>6.1507942000000003E-2</v>
      </c>
      <c r="AH176">
        <v>6.3025587999999994E-2</v>
      </c>
      <c r="AI176">
        <v>5.5395447E-2</v>
      </c>
      <c r="AJ176">
        <v>5.6437598999999998E-2</v>
      </c>
      <c r="AK176">
        <v>5.5406935999999997E-2</v>
      </c>
      <c r="AL176">
        <v>4.9633326999999998E-2</v>
      </c>
      <c r="AM176">
        <v>7.0725549999999998E-2</v>
      </c>
      <c r="AN176">
        <v>5.4863557E-2</v>
      </c>
      <c r="AO176">
        <v>8.0733806000000005E-2</v>
      </c>
      <c r="AP176">
        <v>4.6033879999999999E-2</v>
      </c>
      <c r="AQ176">
        <v>6.6870816999999999E-2</v>
      </c>
      <c r="AR176">
        <v>4.8455247E-2</v>
      </c>
      <c r="AT176">
        <v>7.1271939000000006E-2</v>
      </c>
    </row>
    <row r="177" spans="1:46" x14ac:dyDescent="0.2">
      <c r="A177" t="s">
        <v>155</v>
      </c>
      <c r="B177">
        <v>0.26780436099999999</v>
      </c>
      <c r="C177">
        <v>0.20014599399999999</v>
      </c>
      <c r="D177">
        <v>0.23972170800000001</v>
      </c>
      <c r="E177">
        <v>0.32297285100000001</v>
      </c>
      <c r="F177">
        <v>0.21845725299999999</v>
      </c>
      <c r="G177">
        <v>0.33885827499999999</v>
      </c>
      <c r="H177">
        <v>0.26922485800000001</v>
      </c>
      <c r="I177">
        <v>0.44031891899999998</v>
      </c>
      <c r="J177">
        <v>0.32112782499999998</v>
      </c>
      <c r="K177">
        <v>0.45253283700000002</v>
      </c>
      <c r="L177">
        <v>0.476938376</v>
      </c>
      <c r="M177">
        <v>0.29055044499999999</v>
      </c>
      <c r="N177">
        <v>0.27268332499999998</v>
      </c>
      <c r="O177">
        <v>0.44646881199999999</v>
      </c>
      <c r="P177">
        <v>0.361743702</v>
      </c>
      <c r="Q177">
        <v>0.31160394000000002</v>
      </c>
      <c r="R177">
        <v>0.48011459499999998</v>
      </c>
      <c r="S177">
        <v>0.338155449</v>
      </c>
      <c r="T177">
        <v>0.24603122799999999</v>
      </c>
      <c r="U177">
        <v>0.65564668400000004</v>
      </c>
      <c r="V177">
        <v>0.52940707499999995</v>
      </c>
      <c r="W177">
        <v>0.299083722</v>
      </c>
      <c r="X177">
        <v>0.354335815</v>
      </c>
      <c r="Y177">
        <v>0.30607318700000002</v>
      </c>
      <c r="Z177">
        <v>0.421269797</v>
      </c>
      <c r="AA177">
        <v>0.38559728500000001</v>
      </c>
      <c r="AB177">
        <v>0.44150400899999998</v>
      </c>
      <c r="AC177">
        <v>0.18498136500000001</v>
      </c>
      <c r="AD177">
        <v>0.29182670399999999</v>
      </c>
      <c r="AE177">
        <v>0.449026435</v>
      </c>
      <c r="AF177">
        <v>0.24179407999999999</v>
      </c>
      <c r="AG177">
        <v>0.291117605</v>
      </c>
      <c r="AH177">
        <v>0.29547006399999998</v>
      </c>
      <c r="AI177">
        <v>0.19297642100000001</v>
      </c>
      <c r="AJ177">
        <v>0.20506831</v>
      </c>
      <c r="AK177">
        <v>0.23985410200000001</v>
      </c>
      <c r="AL177">
        <v>0.30258771800000001</v>
      </c>
      <c r="AM177">
        <v>0.42481675299999999</v>
      </c>
      <c r="AN177">
        <v>0.24366935000000001</v>
      </c>
      <c r="AO177">
        <v>0.28576173900000001</v>
      </c>
      <c r="AP177">
        <v>0.20944712600000001</v>
      </c>
      <c r="AQ177">
        <v>0.35071817100000002</v>
      </c>
      <c r="AR177">
        <v>0.29066145100000002</v>
      </c>
      <c r="AT177">
        <v>0.28948692500000001</v>
      </c>
    </row>
    <row r="178" spans="1:46" x14ac:dyDescent="0.2">
      <c r="A178" t="s">
        <v>156</v>
      </c>
      <c r="B178">
        <v>1.407304036</v>
      </c>
      <c r="C178">
        <v>0.96555681000000004</v>
      </c>
      <c r="D178">
        <v>1.223715522</v>
      </c>
      <c r="E178">
        <v>1.5117204719999999</v>
      </c>
      <c r="F178">
        <v>1.2552011359999999</v>
      </c>
      <c r="G178">
        <v>1.8919819360000001</v>
      </c>
      <c r="H178">
        <v>1.4262681859999999</v>
      </c>
      <c r="I178">
        <v>2.2184205430000001</v>
      </c>
      <c r="J178">
        <v>1.5731773579999999</v>
      </c>
      <c r="K178">
        <v>2.3539484819999998</v>
      </c>
      <c r="L178">
        <v>1.843030634</v>
      </c>
      <c r="M178">
        <v>1.3547545409999999</v>
      </c>
      <c r="N178">
        <v>1.218742062</v>
      </c>
      <c r="O178">
        <v>2.0298912260000002</v>
      </c>
      <c r="P178">
        <v>2.1428200070000001</v>
      </c>
      <c r="Q178">
        <v>1.6786858440000001</v>
      </c>
      <c r="R178">
        <v>2.61346956</v>
      </c>
      <c r="S178">
        <v>1.8256942970000001</v>
      </c>
      <c r="T178">
        <v>1.4659749550000001</v>
      </c>
      <c r="U178">
        <v>3.2946506580000001</v>
      </c>
      <c r="V178">
        <v>2.4647730569999999</v>
      </c>
      <c r="W178">
        <v>2.030290087</v>
      </c>
      <c r="X178">
        <v>1.642096247</v>
      </c>
      <c r="Y178">
        <v>1.366068048</v>
      </c>
      <c r="Z178">
        <v>1.613609662</v>
      </c>
      <c r="AA178">
        <v>1.7493035729999999</v>
      </c>
      <c r="AB178">
        <v>1.8682080240000001</v>
      </c>
      <c r="AC178">
        <v>1.183980349</v>
      </c>
      <c r="AD178">
        <v>1.6294443510000001</v>
      </c>
      <c r="AE178">
        <v>2.1310748820000001</v>
      </c>
      <c r="AF178">
        <v>1.330633825</v>
      </c>
      <c r="AG178">
        <v>1.5531231700000001</v>
      </c>
      <c r="AH178">
        <v>2.029852177</v>
      </c>
      <c r="AI178">
        <v>1.1780625119999999</v>
      </c>
      <c r="AJ178">
        <v>1.2452187969999999</v>
      </c>
      <c r="AK178">
        <v>1.587138073</v>
      </c>
      <c r="AL178">
        <v>1.1574275329999999</v>
      </c>
      <c r="AM178">
        <v>1.913959118</v>
      </c>
      <c r="AN178">
        <v>1.627923298</v>
      </c>
      <c r="AO178">
        <v>1.963276461</v>
      </c>
      <c r="AP178">
        <v>1.31219687</v>
      </c>
      <c r="AQ178">
        <v>1.829668839</v>
      </c>
      <c r="AR178">
        <v>1.6553921730000001</v>
      </c>
      <c r="AT178">
        <v>2.6281665279999999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Bile acids_Feces</vt:lpstr>
      <vt:lpstr>Bile acids_Liver</vt:lpstr>
      <vt:lpstr>Sphingolipids-Brain</vt:lpstr>
      <vt:lpstr>Lipidomics_Liver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Revel, Johana S</dc:creator>
  <cp:lastModifiedBy>Keaton Stagaman</cp:lastModifiedBy>
  <dcterms:created xsi:type="dcterms:W3CDTF">2017-07-15T00:25:07Z</dcterms:created>
  <dcterms:modified xsi:type="dcterms:W3CDTF">2021-06-07T20:04:32Z</dcterms:modified>
</cp:coreProperties>
</file>